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excel\excel project\"/>
    </mc:Choice>
  </mc:AlternateContent>
  <xr:revisionPtr revIDLastSave="0" documentId="13_ncr:1_{4C270FF7-69C1-4897-BA02-374F5A7D46BF}" xr6:coauthVersionLast="47" xr6:coauthVersionMax="47" xr10:uidLastSave="{00000000-0000-0000-0000-000000000000}"/>
  <bookViews>
    <workbookView xWindow="-108" yWindow="-108" windowWidth="23256" windowHeight="12456" activeTab="3" xr2:uid="{4685CAF0-E017-4601-8862-B203F84891E8}"/>
  </bookViews>
  <sheets>
    <sheet name="Piviot Report" sheetId="1" r:id="rId1"/>
    <sheet name="DashBord Report" sheetId="2" r:id="rId2"/>
    <sheet name="daily trends of no. of patient " sheetId="5" r:id="rId3"/>
    <sheet name="Average patient waittime " sheetId="3" r:id="rId4"/>
    <sheet name="Satisfaction score daily trend" sheetId="4"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9a7200cf-2928-4e9f-8aa1-ab826381e528" name="Hospital Emergency Room Data" connection="Query - Hospital Emergency Room Data"/>
          <x15:modelTable id="Calender_Table_8780cd20-5631-4e4c-9ac6-133991b392db"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5" i="1" l="1"/>
  <c r="U5" i="1"/>
  <c r="T4" i="1"/>
  <c r="U4" i="1"/>
  <c r="S5" i="1"/>
  <c r="S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16588C-BA4B-4AFB-A5CE-378F928B23F9}" name="Query - Calender_Table" description="Connection to the 'Calender_Table' query in the workbook." type="100" refreshedVersion="8" minRefreshableVersion="5">
    <extLst>
      <ext xmlns:x15="http://schemas.microsoft.com/office/spreadsheetml/2010/11/main" uri="{DE250136-89BD-433C-8126-D09CA5730AF9}">
        <x15:connection id="7486d5fc-6e2d-47be-9ca4-6ce3afdc9da6"/>
      </ext>
    </extLst>
  </connection>
  <connection id="2" xr16:uid="{794F2BF0-AAA8-4AD5-A32F-13E716997B7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f482b920-534c-486a-8b89-a61875b7418b"/>
      </ext>
    </extLst>
  </connection>
  <connection id="3" xr16:uid="{B0929113-DD56-473D-A25D-C6CD50E7CE7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<sst xmlns="http://schemas.openxmlformats.org/spreadsheetml/2006/main" count="157" uniqueCount="78">
  <si>
    <t>Row Labels</t>
  </si>
  <si>
    <t>Grand Total</t>
  </si>
  <si>
    <t>Distinct Count of Patient Id</t>
  </si>
  <si>
    <t xml:space="preserve">No. of patient </t>
  </si>
  <si>
    <t>Average of Patient Waittime</t>
  </si>
  <si>
    <t>Average Waittime</t>
  </si>
  <si>
    <t>Average of Patient Satisfaction Score</t>
  </si>
  <si>
    <t>Average Score</t>
  </si>
  <si>
    <t xml:space="preserve">daily trends of no. of patient </t>
  </si>
  <si>
    <t>Average patient waittime</t>
  </si>
  <si>
    <t>Average patient satisfaction score</t>
  </si>
  <si>
    <t>Count of Patient Admission Flag</t>
  </si>
  <si>
    <t>Admitted</t>
  </si>
  <si>
    <t>Not Admitted</t>
  </si>
  <si>
    <t>Count of Patient Admission Flag2</t>
  </si>
  <si>
    <t>Admission Status</t>
  </si>
  <si>
    <t>No. of Patients</t>
  </si>
  <si>
    <t>%Status</t>
  </si>
  <si>
    <t>chart</t>
  </si>
  <si>
    <t>0-09</t>
  </si>
  <si>
    <t>10-19</t>
  </si>
  <si>
    <t>20-29</t>
  </si>
  <si>
    <t>30-39</t>
  </si>
  <si>
    <t>40-49</t>
  </si>
  <si>
    <t>50-59</t>
  </si>
  <si>
    <t>60-69</t>
  </si>
  <si>
    <t>70-79</t>
  </si>
  <si>
    <t>Count of Age Group</t>
  </si>
  <si>
    <t>Age Group</t>
  </si>
  <si>
    <t>Count of Patient Id</t>
  </si>
  <si>
    <t>Delay</t>
  </si>
  <si>
    <t>Ontime</t>
  </si>
  <si>
    <t>Female</t>
  </si>
  <si>
    <t>Male</t>
  </si>
  <si>
    <t>Count of Patient Gender</t>
  </si>
  <si>
    <t>Attendence Ststus</t>
  </si>
  <si>
    <t xml:space="preserve">Gender </t>
  </si>
  <si>
    <t>Cardiology</t>
  </si>
  <si>
    <t>Gastroenterology</t>
  </si>
  <si>
    <t>General Practice</t>
  </si>
  <si>
    <t>Neurology</t>
  </si>
  <si>
    <t>None</t>
  </si>
  <si>
    <t>Orthopedics</t>
  </si>
  <si>
    <t>Physiotherapy</t>
  </si>
  <si>
    <t>Renal</t>
  </si>
  <si>
    <t>Count of Department Referral</t>
  </si>
  <si>
    <t>department referal</t>
  </si>
  <si>
    <t>2023</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</si>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</sst>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2" tint="-0.249977111117893"/>
        <bgColor indexed="64"/>
      </patternFill>
    </fill>
    <fill>
      <patternFill patternType="solid">
        <fgColor theme="9" tint="0.39997558519241921"/>
        <bgColor indexed="64"/>
      </patternFill>
    </fill>
  </fills>
  <borders count="2">
    <border>
      <left/>
      <right/>
      <top/>
      <bottom/>
      <diagonal/>
    </border>
    <border>
      <left/>
      <right/>
      <top/>
      <bottom style="thin">
        <color indexed="64"/>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2" borderId="0" xfId="0" applyFill="1"/>
    <xf numFmtId="0" fontId="0" fillId="3" borderId="0" xfId="0" applyFill="1"/>
    <xf numFmtId="0" fontId="0" fillId="0" borderId="1" xfId="0" applyBorder="1"/>
    <xf numFmtId="0" fontId="0" fillId="3" borderId="0" xfId="0" applyFill="1" applyBorder="1"/>
    <xf numFmtId="1" fontId="0" fillId="0" borderId="0" xfId="0" applyNumberFormat="1"/>
    <xf numFmtId="10" fontId="0" fillId="0" borderId="0" xfId="0" applyNumberFormat="1"/>
    <xf numFmtId="0" fontId="0" fillId="0" borderId="0" xfId="0" applyBorder="1"/>
    <xf numFmtId="0" fontId="0" fillId="0" borderId="0" xfId="0" applyAlignment="1">
      <alignment horizontal="center"/>
    </xf>
    <xf numFmtId="0" fontId="0" fillId="0" borderId="0" xfId="0" applyBorder="1" applyAlignment="1">
      <alignment horizontal="center" vertical="center"/>
    </xf>
    <xf numFmtId="10" fontId="0" fillId="0" borderId="0" xfId="0" applyNumberFormat="1" applyBorder="1" applyAlignment="1">
      <alignment horizontal="center" vertical="center"/>
    </xf>
    <xf numFmtId="0" fontId="1" fillId="4" borderId="0" xfId="0" applyFont="1" applyFill="1" applyBorder="1" applyAlignment="1">
      <alignment horizontal="center" vertical="center"/>
    </xf>
    <xf numFmtId="0" fontId="0" fillId="4" borderId="0" xfId="0" applyFill="1" applyBorder="1"/>
    <xf numFmtId="0" fontId="0" fillId="0" borderId="0" xfId="0" applyAlignment="1">
      <alignment horizontal="center" vertical="center"/>
    </xf>
    <xf numFmtId="0" fontId="1" fillId="4" borderId="0" xfId="0" applyFont="1" applyFill="1" applyBorder="1" applyAlignment="1">
      <alignment horizontal="center"/>
    </xf>
  </cellXfs>
  <cellStyles count="1">
    <cellStyle name="Normal" xfId="0" builtinId="0"/>
  </cellStyles>
  <dxfs count="14">
    <dxf>
      <numFmt numFmtId="1" formatCode="0"/>
    </dxf>
    <dxf>
      <numFmt numFmtId="2" formatCode="0.00"/>
    </dxf>
    <dxf>
      <numFmt numFmtId="2" formatCode="0.00"/>
    </dxf>
    <dxf>
      <numFmt numFmtId="1" formatCode="0"/>
    </dxf>
    <dxf>
      <numFmt numFmtId="2" formatCode="0.00"/>
    </dxf>
    <dxf>
      <numFmt numFmtId="14" formatCode="0.00%"/>
    </dxf>
    <dxf>
      <numFmt numFmtId="1" formatCode="0"/>
    </dxf>
    <dxf>
      <numFmt numFmtId="2" formatCode="0.00"/>
    </dxf>
    <dxf>
      <numFmt numFmtId="2" formatCode="0.00"/>
    </dxf>
    <dxf>
      <numFmt numFmtId="1" formatCode="0"/>
    </dxf>
    <dxf>
      <numFmt numFmtId="2" formatCode="0.00"/>
    </dxf>
    <dxf>
      <numFmt numFmtId="1" formatCode="0"/>
    </dxf>
    <dxf>
      <font>
        <b/>
        <color theme="1"/>
      </font>
      <border>
        <bottom style="thin">
          <color theme="4"/>
        </bottom>
        <vertical/>
        <horizontal/>
      </border>
    </dxf>
    <dxf>
      <font>
        <sz val="10"/>
        <color theme="1"/>
      </font>
      <fill>
        <patternFill>
          <bgColor theme="9" tint="0.79998168889431442"/>
        </patternFill>
      </fill>
      <border diagonalUp="0" diagonalDown="0">
        <left/>
        <right/>
        <top/>
        <bottom/>
        <vertical/>
        <horizontal/>
      </border>
    </dxf>
  </dxfs>
  <tableStyles count="1" defaultTableStyle="TableStyleMedium2" defaultPivotStyle="PivotStyleLight16">
    <tableStyle name="mystyle1 2 2 2 2 2" pivot="0" table="0" count="10" xr9:uid="{4415979D-28B6-4626-BF41-D315B769933A}">
      <tableStyleElement type="wholeTable" dxfId="13"/>
      <tableStyleElement type="headerRow" dxfId="12"/>
    </tableStyle>
  </tableStyles>
  <colors>
    <mruColors>
      <color rgb="FF00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9" tint="-0.2499465926084170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9" tint="0.3999450666829432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mystyle1 2 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 Excel.xlsx]Piviot Report!PivotTable7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6">
              <a:lumMod val="75000"/>
            </a:schemeClr>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FCACAC7-10DD-4E7E-8D5D-CD08767946E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6">
              <a:lumMod val="75000"/>
            </a:schemeClr>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940C7F6-AA52-48B6-9A6B-E16770A34F61}"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2.1773990579944625E-3"/>
          <c:y val="2.4472369036062275E-2"/>
          <c:w val="0.99782261213888057"/>
          <c:h val="0.97244993348434183"/>
        </c:manualLayout>
      </c:layout>
      <c:barChart>
        <c:barDir val="bar"/>
        <c:grouping val="clustered"/>
        <c:varyColors val="0"/>
        <c:ser>
          <c:idx val="0"/>
          <c:order val="0"/>
          <c:tx>
            <c:strRef>
              <c:f>'Piviot Report'!$Q$4:$Q$5</c:f>
              <c:strCache>
                <c:ptCount val="1"/>
                <c:pt idx="0">
                  <c:v>Count of Patient Admission Flag</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3-9958-4897-8E0A-B091B061B06E}"/>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4-9958-4897-8E0A-B091B061B06E}"/>
              </c:ext>
            </c:extLst>
          </c:dPt>
          <c:dLbls>
            <c:dLbl>
              <c:idx val="0"/>
              <c:tx>
                <c:rich>
                  <a:bodyPr/>
                  <a:lstStyle/>
                  <a:p>
                    <a:fld id="{7FCACAC7-10DD-4E7E-8D5D-CD08767946E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958-4897-8E0A-B091B061B06E}"/>
                </c:ext>
              </c:extLst>
            </c:dLbl>
            <c:dLbl>
              <c:idx val="1"/>
              <c:tx>
                <c:rich>
                  <a:bodyPr/>
                  <a:lstStyle/>
                  <a:p>
                    <a:fld id="{1940C7F6-AA52-48B6-9A6B-E16770A34F6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958-4897-8E0A-B091B061B06E}"/>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'Piviot Report'!$Q$4:$Q$5</c:f>
              <c:strCache>
                <c:ptCount val="2"/>
                <c:pt idx="0">
                  <c:v>Admitted</c:v>
                </c:pt>
                <c:pt idx="1">
                  <c:v>Not Admitted</c:v>
                </c:pt>
              </c:strCache>
            </c:strRef>
          </c:cat>
          <c:val>
            <c:numRef>
              <c:f>'Piviot Report'!$Q$4:$Q$5</c:f>
              <c:numCache>
                <c:formatCode>0</c:formatCode>
                <c:ptCount val="2"/>
                <c:pt idx="0">
                  <c:v>454</c:v>
                </c:pt>
                <c:pt idx="1">
                  <c:v>494</c:v>
                </c:pt>
              </c:numCache>
            </c:numRef>
          </c:val>
          <c:extLst>
            <c:ext xmlns:c15="http://schemas.microsoft.com/office/drawing/2012/chart" uri="{02D57815-91ED-43cb-92C2-25804820EDAC}">
              <c15:datalabelsRange>
                <c15:f>'Piviot Report'!$Q$4:$Q$5</c15:f>
                <c15:dlblRangeCache>
                  <c:ptCount val="2"/>
                  <c:pt idx="0">
                    <c:v>47.89%</c:v>
                  </c:pt>
                  <c:pt idx="1">
                    <c:v>52.11%</c:v>
                  </c:pt>
                </c15:dlblRangeCache>
              </c15:datalabelsRange>
            </c:ext>
            <c:ext xmlns:c16="http://schemas.microsoft.com/office/drawing/2014/chart" uri="{C3380CC4-5D6E-409C-BE32-E72D297353CC}">
              <c16:uniqueId val="{00000000-9958-4897-8E0A-B091B061B06E}"/>
            </c:ext>
          </c:extLst>
        </c:ser>
        <c:ser>
          <c:idx val="1"/>
          <c:order val="1"/>
          <c:tx>
            <c:strRef>
              <c:f>'Piviot Report'!$Q$4:$Q$5</c:f>
              <c:strCache>
                <c:ptCount val="1"/>
                <c:pt idx="0">
                  <c:v>Count of Patient Admission Flag2</c:v>
                </c:pt>
              </c:strCache>
            </c:strRef>
          </c:tx>
          <c:spPr>
            <a:solidFill>
              <a:schemeClr val="accent2"/>
            </a:solidFill>
            <a:ln>
              <a:noFill/>
            </a:ln>
            <a:effectLst/>
          </c:spPr>
          <c:invertIfNegative val="0"/>
          <c:cat>
            <c:strRef>
              <c:f>'Piviot Report'!$Q$4:$Q$5</c:f>
              <c:strCache>
                <c:ptCount val="2"/>
                <c:pt idx="0">
                  <c:v>Admitted</c:v>
                </c:pt>
                <c:pt idx="1">
                  <c:v>Not Admitted</c:v>
                </c:pt>
              </c:strCache>
            </c:strRef>
          </c:cat>
          <c:val>
            <c:numRef>
              <c:f>'Piviot Report'!$Q$4:$Q$5</c:f>
              <c:numCache>
                <c:formatCode>0.00%</c:formatCode>
                <c:ptCount val="2"/>
                <c:pt idx="0">
                  <c:v>0.47890295358649787</c:v>
                </c:pt>
                <c:pt idx="1">
                  <c:v>0.52109704641350207</c:v>
                </c:pt>
              </c:numCache>
            </c:numRef>
          </c:val>
          <c:extLst>
            <c:ext xmlns:c16="http://schemas.microsoft.com/office/drawing/2014/chart" uri="{C3380CC4-5D6E-409C-BE32-E72D297353CC}">
              <c16:uniqueId val="{00000001-9958-4897-8E0A-B091B061B06E}"/>
            </c:ext>
          </c:extLst>
        </c:ser>
        <c:dLbls>
          <c:showLegendKey val="0"/>
          <c:showVal val="0"/>
          <c:showCatName val="0"/>
          <c:showSerName val="0"/>
          <c:showPercent val="0"/>
          <c:showBubbleSize val="0"/>
        </c:dLbls>
        <c:gapWidth val="91"/>
        <c:overlap val="-49"/>
        <c:axId val="2134630864"/>
        <c:axId val="2134633264"/>
      </c:barChart>
      <c:catAx>
        <c:axId val="2134630864"/>
        <c:scaling>
          <c:orientation val="minMax"/>
        </c:scaling>
        <c:delete val="1"/>
        <c:axPos val="l"/>
        <c:numFmt formatCode="General" sourceLinked="1"/>
        <c:majorTickMark val="none"/>
        <c:minorTickMark val="none"/>
        <c:tickLblPos val="nextTo"/>
        <c:crossAx val="2134633264"/>
        <c:crosses val="autoZero"/>
        <c:auto val="1"/>
        <c:lblAlgn val="ctr"/>
        <c:lblOffset val="100"/>
        <c:noMultiLvlLbl val="0"/>
      </c:catAx>
      <c:valAx>
        <c:axId val="2134633264"/>
        <c:scaling>
          <c:orientation val="minMax"/>
        </c:scaling>
        <c:delete val="1"/>
        <c:axPos val="b"/>
        <c:numFmt formatCode="0" sourceLinked="1"/>
        <c:majorTickMark val="none"/>
        <c:minorTickMark val="none"/>
        <c:tickLblPos val="nextTo"/>
        <c:crossAx val="2134630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 Excel.xlsx]Piviot Report!PivotTable5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9E-3"/>
          <c:y val="0"/>
          <c:w val="0.99722249457794232"/>
          <c:h val="0.99062819571998528"/>
        </c:manualLayout>
      </c:layout>
      <c:areaChart>
        <c:grouping val="standard"/>
        <c:varyColors val="0"/>
        <c:ser>
          <c:idx val="0"/>
          <c:order val="0"/>
          <c:tx>
            <c:strRef>
              <c:f>'Piviot Report'!$J$3</c:f>
              <c:strCache>
                <c:ptCount val="1"/>
                <c:pt idx="0">
                  <c:v>Total</c:v>
                </c:pt>
              </c:strCache>
            </c:strRef>
          </c:tx>
          <c:spPr>
            <a:solidFill>
              <a:schemeClr val="accent6">
                <a:lumMod val="75000"/>
              </a:schemeClr>
            </a:solidFill>
            <a:ln>
              <a:solidFill>
                <a:schemeClr val="accent6">
                  <a:lumMod val="75000"/>
                </a:schemeClr>
              </a:solidFill>
            </a:ln>
            <a:effectLst/>
          </c:spPr>
          <c:cat>
            <c:strRef>
              <c:f>'Piviot Report'!$I$4:$I$34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'Piviot Report'!$J$4:$J$34</c:f>
              <c:numCache>
                <c:formatCode>0.00</c:formatCode>
                <c:ptCount val="30"/>
                <c:pt idx="0">
                  <c:v>37.12903225806452</c:v>
                </c:pt>
                <c:pt idx="1">
                  <c:v>35.34375</c:v>
                </c:pt>
                <c:pt idx="2">
                  <c:v>33.064516129032256</c:v>
                </c:pt>
                <c:pt idx="3">
                  <c:v>33.482758620689658</c:v>
                </c:pt>
                <c:pt idx="4">
                  <c:v>34</c:v>
                </c:pt>
                <c:pt idx="5">
                  <c:v>34.354838709677416</c:v>
                </c:pt>
                <c:pt idx="6">
                  <c:v>32.666666666666664</c:v>
                </c:pt>
                <c:pt idx="7">
                  <c:v>30.3125</c:v>
                </c:pt>
                <c:pt idx="8">
                  <c:v>33.925925925925924</c:v>
                </c:pt>
                <c:pt idx="9">
                  <c:v>32.037037037037038</c:v>
                </c:pt>
                <c:pt idx="10">
                  <c:v>38.606060606060609</c:v>
                </c:pt>
                <c:pt idx="11">
                  <c:v>36.761904761904759</c:v>
                </c:pt>
                <c:pt idx="12">
                  <c:v>28.52</c:v>
                </c:pt>
                <c:pt idx="13">
                  <c:v>33.882352941176471</c:v>
                </c:pt>
                <c:pt idx="14">
                  <c:v>39.625</c:v>
                </c:pt>
                <c:pt idx="15">
                  <c:v>31.823529411764707</c:v>
                </c:pt>
                <c:pt idx="16">
                  <c:v>37.769230769230766</c:v>
                </c:pt>
                <c:pt idx="17">
                  <c:v>38.055555555555557</c:v>
                </c:pt>
                <c:pt idx="18">
                  <c:v>30.129032258064516</c:v>
                </c:pt>
                <c:pt idx="19">
                  <c:v>35.03125</c:v>
                </c:pt>
                <c:pt idx="20">
                  <c:v>35.303030303030305</c:v>
                </c:pt>
                <c:pt idx="21">
                  <c:v>35.717948717948715</c:v>
                </c:pt>
                <c:pt idx="22">
                  <c:v>41.407407407407405</c:v>
                </c:pt>
                <c:pt idx="23">
                  <c:v>37.28125</c:v>
                </c:pt>
                <c:pt idx="24">
                  <c:v>38.575757575757578</c:v>
                </c:pt>
                <c:pt idx="25">
                  <c:v>33.411764705882355</c:v>
                </c:pt>
                <c:pt idx="26">
                  <c:v>36.6</c:v>
                </c:pt>
                <c:pt idx="27">
                  <c:v>31.875</c:v>
                </c:pt>
                <c:pt idx="28">
                  <c:v>36.925925925925924</c:v>
                </c:pt>
                <c:pt idx="29">
                  <c:v>33.533333333333331</c:v>
                </c:pt>
              </c:numCache>
            </c:numRef>
          </c:val>
          <c:extLst>
            <c:ext xmlns:c16="http://schemas.microsoft.com/office/drawing/2014/chart" uri="{C3380CC4-5D6E-409C-BE32-E72D297353CC}">
              <c16:uniqueId val="{00000000-F2CD-4E1B-AEA3-DCD94CD5423A}"/>
            </c:ext>
          </c:extLst>
        </c:ser>
        <c:dLbls>
          <c:showLegendKey val="0"/>
          <c:showVal val="0"/>
          <c:showCatName val="0"/>
          <c:showSerName val="0"/>
          <c:showPercent val="0"/>
          <c:showBubbleSize val="0"/>
        </c:dLbls>
        <c:axId val="513174992"/>
        <c:axId val="22660607"/>
      </c:areaChart>
      <c:catAx>
        <c:axId val="513174992"/>
        <c:scaling>
          <c:orientation val="minMax"/>
        </c:scaling>
        <c:delete val="1"/>
        <c:axPos val="b"/>
        <c:numFmt formatCode="General" sourceLinked="1"/>
        <c:majorTickMark val="out"/>
        <c:minorTickMark val="none"/>
        <c:tickLblPos val="nextTo"/>
        <c:crossAx val="22660607"/>
        <c:crosses val="autoZero"/>
        <c:auto val="1"/>
        <c:lblAlgn val="ctr"/>
        <c:lblOffset val="100"/>
        <c:noMultiLvlLbl val="0"/>
      </c:catAx>
      <c:valAx>
        <c:axId val="22660607"/>
        <c:scaling>
          <c:orientation val="minMax"/>
        </c:scaling>
        <c:delete val="1"/>
        <c:axPos val="l"/>
        <c:numFmt formatCode="0.00" sourceLinked="1"/>
        <c:majorTickMark val="none"/>
        <c:minorTickMark val="none"/>
        <c:tickLblPos val="nextTo"/>
        <c:crossAx val="51317499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 Excel.xlsx]Piviot Report!PivotTable6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157755512191259E-3"/>
          <c:y val="0"/>
          <c:w val="0.9835911987755086"/>
          <c:h val="1"/>
        </c:manualLayout>
      </c:layout>
      <c:areaChart>
        <c:grouping val="standard"/>
        <c:varyColors val="0"/>
        <c:ser>
          <c:idx val="0"/>
          <c:order val="0"/>
          <c:tx>
            <c:strRef>
              <c:f>'Piviot Report'!$M$4</c:f>
              <c:strCache>
                <c:ptCount val="1"/>
                <c:pt idx="0">
                  <c:v>Total</c:v>
                </c:pt>
              </c:strCache>
            </c:strRef>
          </c:tx>
          <c:spPr>
            <a:solidFill>
              <a:schemeClr val="accent6">
                <a:lumMod val="75000"/>
              </a:schemeClr>
            </a:solidFill>
            <a:ln w="25400">
              <a:noFill/>
            </a:ln>
            <a:effectLst/>
          </c:spPr>
          <c:cat>
            <c:strRef>
              <c:f>'Piviot Report'!$L$5:$L$35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'Piviot Report'!$M$5:$M$35</c:f>
              <c:numCache>
                <c:formatCode>0.00</c:formatCode>
                <c:ptCount val="30"/>
                <c:pt idx="0">
                  <c:v>3.8</c:v>
                </c:pt>
                <c:pt idx="1">
                  <c:v>6</c:v>
                </c:pt>
                <c:pt idx="2">
                  <c:v>4.5999999999999996</c:v>
                </c:pt>
                <c:pt idx="3">
                  <c:v>5.7142857142857144</c:v>
                </c:pt>
                <c:pt idx="4">
                  <c:v>4.666666666666667</c:v>
                </c:pt>
                <c:pt idx="5">
                  <c:v>3.4</c:v>
                </c:pt>
                <c:pt idx="6">
                  <c:v>5</c:v>
                </c:pt>
                <c:pt idx="7">
                  <c:v>5.8571428571428568</c:v>
                </c:pt>
                <c:pt idx="8">
                  <c:v>4.8888888888888893</c:v>
                </c:pt>
                <c:pt idx="9">
                  <c:v>6</c:v>
                </c:pt>
                <c:pt idx="10">
                  <c:v>4.7142857142857144</c:v>
                </c:pt>
                <c:pt idx="11">
                  <c:v>7.1428571428571432</c:v>
                </c:pt>
                <c:pt idx="12">
                  <c:v>4.333333333333333</c:v>
                </c:pt>
                <c:pt idx="13">
                  <c:v>6.7333333333333334</c:v>
                </c:pt>
                <c:pt idx="14">
                  <c:v>5.2857142857142856</c:v>
                </c:pt>
                <c:pt idx="15">
                  <c:v>4.916666666666667</c:v>
                </c:pt>
                <c:pt idx="16">
                  <c:v>4.333333333333333</c:v>
                </c:pt>
                <c:pt idx="17">
                  <c:v>5.333333333333333</c:v>
                </c:pt>
                <c:pt idx="18">
                  <c:v>4.3636363636363633</c:v>
                </c:pt>
                <c:pt idx="19">
                  <c:v>2.9090909090909092</c:v>
                </c:pt>
                <c:pt idx="20">
                  <c:v>4.5</c:v>
                </c:pt>
                <c:pt idx="21">
                  <c:v>6.1</c:v>
                </c:pt>
                <c:pt idx="22">
                  <c:v>6.666666666666667</c:v>
                </c:pt>
                <c:pt idx="23">
                  <c:v>5</c:v>
                </c:pt>
                <c:pt idx="24">
                  <c:v>2.5555555555555554</c:v>
                </c:pt>
                <c:pt idx="25">
                  <c:v>5.5714285714285712</c:v>
                </c:pt>
                <c:pt idx="26">
                  <c:v>4.8461538461538458</c:v>
                </c:pt>
                <c:pt idx="27">
                  <c:v>4.8888888888888893</c:v>
                </c:pt>
                <c:pt idx="28">
                  <c:v>4.8</c:v>
                </c:pt>
                <c:pt idx="29">
                  <c:v>5.375</c:v>
                </c:pt>
              </c:numCache>
            </c:numRef>
          </c:val>
          <c:extLst>
            <c:ext xmlns:c16="http://schemas.microsoft.com/office/drawing/2014/chart" uri="{C3380CC4-5D6E-409C-BE32-E72D297353CC}">
              <c16:uniqueId val="{00000002-C285-40A2-9C3D-AAE215BB10CD}"/>
            </c:ext>
          </c:extLst>
        </c:ser>
        <c:dLbls>
          <c:showLegendKey val="0"/>
          <c:showVal val="0"/>
          <c:showCatName val="0"/>
          <c:showSerName val="0"/>
          <c:showPercent val="0"/>
          <c:showBubbleSize val="0"/>
        </c:dLbls>
        <c:axId val="1124785360"/>
        <c:axId val="503346720"/>
      </c:areaChart>
      <c:catAx>
        <c:axId val="1124785360"/>
        <c:scaling>
          <c:orientation val="minMax"/>
        </c:scaling>
        <c:delete val="1"/>
        <c:axPos val="b"/>
        <c:numFmt formatCode="General" sourceLinked="1"/>
        <c:majorTickMark val="out"/>
        <c:minorTickMark val="none"/>
        <c:tickLblPos val="nextTo"/>
        <c:crossAx val="503346720"/>
        <c:crosses val="autoZero"/>
        <c:auto val="1"/>
        <c:lblAlgn val="ctr"/>
        <c:lblOffset val="100"/>
        <c:noMultiLvlLbl val="0"/>
      </c:catAx>
      <c:valAx>
        <c:axId val="503346720"/>
        <c:scaling>
          <c:orientation val="minMax"/>
        </c:scaling>
        <c:delete val="1"/>
        <c:axPos val="l"/>
        <c:numFmt formatCode="0.00" sourceLinked="1"/>
        <c:majorTickMark val="none"/>
        <c:minorTickMark val="none"/>
        <c:tickLblPos val="nextTo"/>
        <c:crossAx val="11247853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 Excel.xlsx]Piviot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1545373491080856E-2"/>
          <c:w val="0.99906886527135985"/>
          <c:h val="0.97845462650891912"/>
        </c:manualLayout>
      </c:layout>
      <c:areaChart>
        <c:grouping val="standard"/>
        <c:varyColors val="0"/>
        <c:ser>
          <c:idx val="0"/>
          <c:order val="0"/>
          <c:tx>
            <c:strRef>
              <c:f>'Piviot Report'!$F$3</c:f>
              <c:strCache>
                <c:ptCount val="1"/>
                <c:pt idx="0">
                  <c:v>Total</c:v>
                </c:pt>
              </c:strCache>
            </c:strRef>
          </c:tx>
          <c:spPr>
            <a:solidFill>
              <a:schemeClr val="accent6">
                <a:lumMod val="75000"/>
              </a:schemeClr>
            </a:solidFill>
            <a:ln>
              <a:solidFill>
                <a:schemeClr val="accent6">
                  <a:lumMod val="75000"/>
                </a:schemeClr>
              </a:solidFill>
            </a:ln>
            <a:effectLst/>
          </c:spPr>
          <c:cat>
            <c:strRef>
              <c:f>'Piviot Report'!$E$4:$E$34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'Piviot Report'!$F$4:$F$34</c:f>
              <c:numCache>
                <c:formatCode>General</c:formatCode>
                <c:ptCount val="30"/>
                <c:pt idx="0">
                  <c:v>31</c:v>
                </c:pt>
                <c:pt idx="1">
                  <c:v>32</c:v>
                </c:pt>
                <c:pt idx="2">
                  <c:v>31</c:v>
                </c:pt>
                <c:pt idx="3">
                  <c:v>29</c:v>
                </c:pt>
                <c:pt idx="4">
                  <c:v>34</c:v>
                </c:pt>
                <c:pt idx="5">
                  <c:v>31</c:v>
                </c:pt>
                <c:pt idx="6">
                  <c:v>27</c:v>
                </c:pt>
                <c:pt idx="7">
                  <c:v>32</c:v>
                </c:pt>
                <c:pt idx="8">
                  <c:v>27</c:v>
                </c:pt>
                <c:pt idx="9">
                  <c:v>27</c:v>
                </c:pt>
                <c:pt idx="10">
                  <c:v>33</c:v>
                </c:pt>
                <c:pt idx="11">
                  <c:v>42</c:v>
                </c:pt>
                <c:pt idx="12">
                  <c:v>25</c:v>
                </c:pt>
                <c:pt idx="13">
                  <c:v>34</c:v>
                </c:pt>
                <c:pt idx="14">
                  <c:v>32</c:v>
                </c:pt>
                <c:pt idx="15">
                  <c:v>34</c:v>
                </c:pt>
                <c:pt idx="16">
                  <c:v>26</c:v>
                </c:pt>
                <c:pt idx="17">
                  <c:v>36</c:v>
                </c:pt>
                <c:pt idx="18">
                  <c:v>31</c:v>
                </c:pt>
                <c:pt idx="19">
                  <c:v>32</c:v>
                </c:pt>
                <c:pt idx="20">
                  <c:v>33</c:v>
                </c:pt>
                <c:pt idx="21">
                  <c:v>39</c:v>
                </c:pt>
                <c:pt idx="22">
                  <c:v>27</c:v>
                </c:pt>
                <c:pt idx="23">
                  <c:v>32</c:v>
                </c:pt>
                <c:pt idx="24">
                  <c:v>33</c:v>
                </c:pt>
                <c:pt idx="25">
                  <c:v>34</c:v>
                </c:pt>
                <c:pt idx="26">
                  <c:v>35</c:v>
                </c:pt>
                <c:pt idx="27">
                  <c:v>32</c:v>
                </c:pt>
                <c:pt idx="28">
                  <c:v>27</c:v>
                </c:pt>
                <c:pt idx="29">
                  <c:v>30</c:v>
                </c:pt>
              </c:numCache>
            </c:numRef>
          </c:val>
          <c:extLst>
            <c:ext xmlns:c16="http://schemas.microsoft.com/office/drawing/2014/chart" uri="{C3380CC4-5D6E-409C-BE32-E72D297353CC}">
              <c16:uniqueId val="{00000000-4AF8-4F4C-8DA9-3C4C2C17879D}"/>
            </c:ext>
          </c:extLst>
        </c:ser>
        <c:dLbls>
          <c:showLegendKey val="0"/>
          <c:showVal val="0"/>
          <c:showCatName val="0"/>
          <c:showSerName val="0"/>
          <c:showPercent val="0"/>
          <c:showBubbleSize val="0"/>
        </c:dLbls>
        <c:axId val="1135503936"/>
        <c:axId val="1135501536"/>
      </c:areaChart>
      <c:catAx>
        <c:axId val="1135503936"/>
        <c:scaling>
          <c:orientation val="minMax"/>
        </c:scaling>
        <c:delete val="1"/>
        <c:axPos val="b"/>
        <c:numFmt formatCode="General" sourceLinked="1"/>
        <c:majorTickMark val="out"/>
        <c:minorTickMark val="none"/>
        <c:tickLblPos val="nextTo"/>
        <c:crossAx val="1135501536"/>
        <c:crosses val="autoZero"/>
        <c:auto val="1"/>
        <c:lblAlgn val="ctr"/>
        <c:lblOffset val="100"/>
        <c:noMultiLvlLbl val="0"/>
      </c:catAx>
      <c:valAx>
        <c:axId val="1135501536"/>
        <c:scaling>
          <c:orientation val="minMax"/>
        </c:scaling>
        <c:delete val="1"/>
        <c:axPos val="l"/>
        <c:numFmt formatCode="General" sourceLinked="1"/>
        <c:majorTickMark val="none"/>
        <c:minorTickMark val="none"/>
        <c:tickLblPos val="nextTo"/>
        <c:crossAx val="113550393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 Excel.xlsx]Piviot Report!PivotTable8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920912545999416E-3"/>
          <c:y val="8.6550112515145741E-4"/>
          <c:w val="0.99680800620184595"/>
          <c:h val="0.77854927225005965"/>
        </c:manualLayout>
      </c:layout>
      <c:barChart>
        <c:barDir val="col"/>
        <c:grouping val="clustered"/>
        <c:varyColors val="0"/>
        <c:ser>
          <c:idx val="0"/>
          <c:order val="0"/>
          <c:tx>
            <c:strRef>
              <c:f>'Piviot Report'!$P$10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Report'!$O$11:$O$19</c:f>
              <c:strCache>
                <c:ptCount val="8"/>
                <c:pt idx="0">
                  <c:v>0-09</c:v>
                </c:pt>
                <c:pt idx="1">
                  <c:v>10-19</c:v>
                </c:pt>
                <c:pt idx="2">
                  <c:v>20-29</c:v>
                </c:pt>
                <c:pt idx="3">
                  <c:v>30-39</c:v>
                </c:pt>
                <c:pt idx="4">
                  <c:v>40-49</c:v>
                </c:pt>
                <c:pt idx="5">
                  <c:v>50-59</c:v>
                </c:pt>
                <c:pt idx="6">
                  <c:v>60-69</c:v>
                </c:pt>
                <c:pt idx="7">
                  <c:v>70-79</c:v>
                </c:pt>
              </c:strCache>
            </c:strRef>
          </c:cat>
          <c:val>
            <c:numRef>
              <c:f>'Piviot Report'!$P$11:$P$19</c:f>
              <c:numCache>
                <c:formatCode>0.00</c:formatCode>
                <c:ptCount val="8"/>
                <c:pt idx="0">
                  <c:v>129</c:v>
                </c:pt>
                <c:pt idx="1">
                  <c:v>124</c:v>
                </c:pt>
                <c:pt idx="2">
                  <c:v>133</c:v>
                </c:pt>
                <c:pt idx="3">
                  <c:v>122</c:v>
                </c:pt>
                <c:pt idx="4">
                  <c:v>96</c:v>
                </c:pt>
                <c:pt idx="5">
                  <c:v>110</c:v>
                </c:pt>
                <c:pt idx="6">
                  <c:v>125</c:v>
                </c:pt>
                <c:pt idx="7">
                  <c:v>109</c:v>
                </c:pt>
              </c:numCache>
            </c:numRef>
          </c:val>
          <c:extLst>
            <c:ext xmlns:c16="http://schemas.microsoft.com/office/drawing/2014/chart" uri="{C3380CC4-5D6E-409C-BE32-E72D297353CC}">
              <c16:uniqueId val="{00000000-1E53-4615-A057-18BC82D00B38}"/>
            </c:ext>
          </c:extLst>
        </c:ser>
        <c:dLbls>
          <c:dLblPos val="outEnd"/>
          <c:showLegendKey val="0"/>
          <c:showVal val="1"/>
          <c:showCatName val="0"/>
          <c:showSerName val="0"/>
          <c:showPercent val="0"/>
          <c:showBubbleSize val="0"/>
        </c:dLbls>
        <c:gapWidth val="219"/>
        <c:overlap val="-27"/>
        <c:axId val="976302944"/>
        <c:axId val="976298144"/>
      </c:barChart>
      <c:catAx>
        <c:axId val="976302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298144"/>
        <c:crosses val="autoZero"/>
        <c:auto val="1"/>
        <c:lblAlgn val="ctr"/>
        <c:lblOffset val="100"/>
        <c:noMultiLvlLbl val="0"/>
      </c:catAx>
      <c:valAx>
        <c:axId val="976298144"/>
        <c:scaling>
          <c:orientation val="minMax"/>
        </c:scaling>
        <c:delete val="1"/>
        <c:axPos val="l"/>
        <c:numFmt formatCode="0.00" sourceLinked="1"/>
        <c:majorTickMark val="out"/>
        <c:minorTickMark val="none"/>
        <c:tickLblPos val="nextTo"/>
        <c:crossAx val="976302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 Excel.xlsx]Piviot Report!PivotTable9</c:name>
    <c:fmtId val="1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pivotFmt>
      <c:pivotFmt>
        <c:idx val="6"/>
        <c:spPr>
          <a:solidFill>
            <a:schemeClr val="accent6">
              <a:lumMod val="60000"/>
              <a:lumOff val="40000"/>
            </a:schemeClr>
          </a:solidFill>
          <a:ln>
            <a:noFill/>
          </a:ln>
          <a:effectLst/>
        </c:spPr>
      </c:pivotFmt>
    </c:pivotFmts>
    <c:plotArea>
      <c:layout>
        <c:manualLayout>
          <c:layoutTarget val="inner"/>
          <c:xMode val="edge"/>
          <c:yMode val="edge"/>
          <c:x val="8.0371261994950857E-2"/>
          <c:y val="0.18556193419171738"/>
          <c:w val="0.85683089629231057"/>
          <c:h val="0.78303719584386611"/>
        </c:manualLayout>
      </c:layout>
      <c:pieChart>
        <c:varyColors val="1"/>
        <c:ser>
          <c:idx val="0"/>
          <c:order val="0"/>
          <c:tx>
            <c:strRef>
              <c:f>'Piviot Report'!$S$10</c:f>
              <c:strCache>
                <c:ptCount val="1"/>
                <c:pt idx="0">
                  <c:v>Total</c:v>
                </c:pt>
              </c:strCache>
            </c:strRef>
          </c:tx>
          <c:spPr>
            <a:effectLst/>
          </c:spPr>
          <c:dPt>
            <c:idx val="0"/>
            <c:bubble3D val="0"/>
            <c:spPr>
              <a:solidFill>
                <a:schemeClr val="accent6">
                  <a:lumMod val="75000"/>
                </a:schemeClr>
              </a:solidFill>
              <a:ln>
                <a:noFill/>
              </a:ln>
              <a:effectLst/>
            </c:spPr>
            <c:extLst>
              <c:ext xmlns:c16="http://schemas.microsoft.com/office/drawing/2014/chart" uri="{C3380CC4-5D6E-409C-BE32-E72D297353CC}">
                <c16:uniqueId val="{00000001-2808-495D-B9D3-E0F779B931A1}"/>
              </c:ext>
            </c:extLst>
          </c:dPt>
          <c:dPt>
            <c:idx val="1"/>
            <c:bubble3D val="0"/>
            <c:spPr>
              <a:solidFill>
                <a:schemeClr val="accent6">
                  <a:lumMod val="60000"/>
                  <a:lumOff val="40000"/>
                </a:schemeClr>
              </a:solidFill>
              <a:ln>
                <a:noFill/>
              </a:ln>
              <a:effectLst/>
            </c:spPr>
            <c:extLst>
              <c:ext xmlns:c16="http://schemas.microsoft.com/office/drawing/2014/chart" uri="{C3380CC4-5D6E-409C-BE32-E72D297353CC}">
                <c16:uniqueId val="{00000003-2808-495D-B9D3-E0F779B931A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'Piviot Report'!$R$11:$R$13</c:f>
              <c:strCache>
                <c:ptCount val="2"/>
                <c:pt idx="0">
                  <c:v>Delay</c:v>
                </c:pt>
                <c:pt idx="1">
                  <c:v>Ontime</c:v>
                </c:pt>
              </c:strCache>
            </c:strRef>
          </c:cat>
          <c:val>
            <c:numRef>
              <c:f>'Piviot Report'!$S$11:$S$13</c:f>
              <c:numCache>
                <c:formatCode>0</c:formatCode>
                <c:ptCount val="2"/>
                <c:pt idx="0">
                  <c:v>541</c:v>
                </c:pt>
                <c:pt idx="1">
                  <c:v>407</c:v>
                </c:pt>
              </c:numCache>
            </c:numRef>
          </c:val>
          <c:extLst>
            <c:ext xmlns:c16="http://schemas.microsoft.com/office/drawing/2014/chart" uri="{C3380CC4-5D6E-409C-BE32-E72D297353CC}">
              <c16:uniqueId val="{00000004-2808-495D-B9D3-E0F779B931A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
          <c:y val="5.208082237451883E-3"/>
          <c:w val="0.95436112796305372"/>
          <c:h val="0.127269210698215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 Excel.xlsx]Piviot Report!PivotTable10</c:name>
    <c:fmtId val="14"/>
  </c:pivotSource>
  <c:chart>
    <c:autoTitleDeleted val="1"/>
    <c:pivotFmts>
      <c:pivotFmt>
        <c:idx val="0"/>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pivotFmt>
      <c:pivotFmt>
        <c:idx val="6"/>
        <c:spPr>
          <a:solidFill>
            <a:schemeClr val="accent6">
              <a:lumMod val="60000"/>
              <a:lumOff val="40000"/>
            </a:schemeClr>
          </a:solidFill>
          <a:ln>
            <a:noFill/>
          </a:ln>
          <a:effectLst/>
        </c:spPr>
      </c:pivotFmt>
    </c:pivotFmts>
    <c:plotArea>
      <c:layout>
        <c:manualLayout>
          <c:layoutTarget val="inner"/>
          <c:xMode val="edge"/>
          <c:yMode val="edge"/>
          <c:x val="8.2198968078696227E-2"/>
          <c:y val="0.22239634881977316"/>
          <c:w val="0.75442482105646258"/>
          <c:h val="0.77483370505927862"/>
        </c:manualLayout>
      </c:layout>
      <c:doughnutChart>
        <c:varyColors val="1"/>
        <c:ser>
          <c:idx val="0"/>
          <c:order val="0"/>
          <c:tx>
            <c:strRef>
              <c:f>'Piviot Report'!$S$17</c:f>
              <c:strCache>
                <c:ptCount val="1"/>
                <c:pt idx="0">
                  <c:v>Total</c:v>
                </c:pt>
              </c:strCache>
            </c:strRef>
          </c:tx>
          <c:spPr>
            <a:effectLst/>
          </c:spPr>
          <c:dPt>
            <c:idx val="0"/>
            <c:bubble3D val="0"/>
            <c:spPr>
              <a:solidFill>
                <a:schemeClr val="accent6">
                  <a:lumMod val="75000"/>
                </a:schemeClr>
              </a:solidFill>
              <a:ln>
                <a:noFill/>
              </a:ln>
              <a:effectLst/>
            </c:spPr>
            <c:extLst>
              <c:ext xmlns:c16="http://schemas.microsoft.com/office/drawing/2014/chart" uri="{C3380CC4-5D6E-409C-BE32-E72D297353CC}">
                <c16:uniqueId val="{00000001-AFB0-483E-AA15-DE8EDE26275E}"/>
              </c:ext>
            </c:extLst>
          </c:dPt>
          <c:dPt>
            <c:idx val="1"/>
            <c:bubble3D val="0"/>
            <c:spPr>
              <a:solidFill>
                <a:schemeClr val="accent6">
                  <a:lumMod val="60000"/>
                  <a:lumOff val="40000"/>
                </a:schemeClr>
              </a:solidFill>
              <a:ln>
                <a:noFill/>
              </a:ln>
              <a:effectLst/>
            </c:spPr>
            <c:extLst>
              <c:ext xmlns:c16="http://schemas.microsoft.com/office/drawing/2014/chart" uri="{C3380CC4-5D6E-409C-BE32-E72D297353CC}">
                <c16:uniqueId val="{00000003-AFB0-483E-AA15-DE8EDE26275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'Piviot Report'!$R$18:$R$20</c:f>
              <c:strCache>
                <c:ptCount val="2"/>
                <c:pt idx="0">
                  <c:v>Female</c:v>
                </c:pt>
                <c:pt idx="1">
                  <c:v>Male</c:v>
                </c:pt>
              </c:strCache>
            </c:strRef>
          </c:cat>
          <c:val>
            <c:numRef>
              <c:f>'Piviot Report'!$S$18:$S$20</c:f>
              <c:numCache>
                <c:formatCode>0</c:formatCode>
                <c:ptCount val="2"/>
                <c:pt idx="0">
                  <c:v>476</c:v>
                </c:pt>
                <c:pt idx="1">
                  <c:v>472</c:v>
                </c:pt>
              </c:numCache>
            </c:numRef>
          </c:val>
          <c:extLst>
            <c:ext xmlns:c16="http://schemas.microsoft.com/office/drawing/2014/chart" uri="{C3380CC4-5D6E-409C-BE32-E72D297353CC}">
              <c16:uniqueId val="{00000004-AFB0-483E-AA15-DE8EDE26275E}"/>
            </c:ext>
          </c:extLst>
        </c:ser>
        <c:dLbls>
          <c:showLegendKey val="0"/>
          <c:showVal val="0"/>
          <c:showCatName val="0"/>
          <c:showSerName val="0"/>
          <c:showPercent val="1"/>
          <c:showBubbleSize val="0"/>
          <c:showLeaderLines val="1"/>
        </c:dLbls>
        <c:firstSliceAng val="0"/>
        <c:holeSize val="34"/>
      </c:doughnutChart>
      <c:spPr>
        <a:noFill/>
        <a:ln>
          <a:noFill/>
        </a:ln>
        <a:effectLst/>
      </c:spPr>
    </c:plotArea>
    <c:legend>
      <c:legendPos val="r"/>
      <c:layout>
        <c:manualLayout>
          <c:xMode val="edge"/>
          <c:yMode val="edge"/>
          <c:x val="8.8584220114889214E-2"/>
          <c:y val="4.9649593452775288E-2"/>
          <c:w val="0.79507362723807762"/>
          <c:h val="0.1124063137941090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 Excel.xlsx]Piviot Report!PivotTable11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150567160275896"/>
          <c:y val="1.5973224789266115E-2"/>
          <c:w val="0.65849432839724098"/>
          <c:h val="0.86205307155058297"/>
        </c:manualLayout>
      </c:layout>
      <c:barChart>
        <c:barDir val="bar"/>
        <c:grouping val="clustered"/>
        <c:varyColors val="0"/>
        <c:ser>
          <c:idx val="0"/>
          <c:order val="0"/>
          <c:tx>
            <c:strRef>
              <c:f>'Piviot Report'!$S$24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 Report'!$R$25:$R$33</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'Piviot Report'!$S$25:$S$33</c:f>
              <c:numCache>
                <c:formatCode>0</c:formatCode>
                <c:ptCount val="8"/>
                <c:pt idx="0">
                  <c:v>7</c:v>
                </c:pt>
                <c:pt idx="1">
                  <c:v>20</c:v>
                </c:pt>
                <c:pt idx="2">
                  <c:v>21</c:v>
                </c:pt>
                <c:pt idx="3">
                  <c:v>26</c:v>
                </c:pt>
                <c:pt idx="4">
                  <c:v>31</c:v>
                </c:pt>
                <c:pt idx="5">
                  <c:v>89</c:v>
                </c:pt>
                <c:pt idx="6">
                  <c:v>207</c:v>
                </c:pt>
                <c:pt idx="7">
                  <c:v>547</c:v>
                </c:pt>
              </c:numCache>
            </c:numRef>
          </c:val>
          <c:extLst>
            <c:ext xmlns:c16="http://schemas.microsoft.com/office/drawing/2014/chart" uri="{C3380CC4-5D6E-409C-BE32-E72D297353CC}">
              <c16:uniqueId val="{00000000-375F-4A8A-B49C-59622B669D8C}"/>
            </c:ext>
          </c:extLst>
        </c:ser>
        <c:dLbls>
          <c:showLegendKey val="0"/>
          <c:showVal val="0"/>
          <c:showCatName val="0"/>
          <c:showSerName val="0"/>
          <c:showPercent val="0"/>
          <c:showBubbleSize val="0"/>
        </c:dLbls>
        <c:gapWidth val="56"/>
        <c:axId val="504312976"/>
        <c:axId val="504313456"/>
      </c:barChart>
      <c:catAx>
        <c:axId val="50431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313456"/>
        <c:crosses val="autoZero"/>
        <c:auto val="1"/>
        <c:lblAlgn val="ctr"/>
        <c:lblOffset val="100"/>
        <c:noMultiLvlLbl val="0"/>
      </c:catAx>
      <c:valAx>
        <c:axId val="504313456"/>
        <c:scaling>
          <c:orientation val="minMax"/>
        </c:scaling>
        <c:delete val="1"/>
        <c:axPos val="b"/>
        <c:numFmt formatCode="0" sourceLinked="1"/>
        <c:majorTickMark val="none"/>
        <c:minorTickMark val="none"/>
        <c:tickLblPos val="nextTo"/>
        <c:crossAx val="504312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 Excel.xlsx]Piviot Report!PivotTable4</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daily trends of no. of patient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201201560831513E-2"/>
          <c:y val="5.714731585518102E-2"/>
          <c:w val="0.94301228506132551"/>
          <c:h val="0.82299954780933282"/>
        </c:manualLayout>
      </c:layout>
      <c:areaChart>
        <c:grouping val="standard"/>
        <c:varyColors val="0"/>
        <c:ser>
          <c:idx val="0"/>
          <c:order val="0"/>
          <c:tx>
            <c:strRef>
              <c:f>'Piviot Report'!$F$3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'Piviot Report'!$E$4:$E$34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'Piviot Report'!$F$4:$F$34</c:f>
              <c:numCache>
                <c:formatCode>General</c:formatCode>
                <c:ptCount val="30"/>
                <c:pt idx="0">
                  <c:v>31</c:v>
                </c:pt>
                <c:pt idx="1">
                  <c:v>32</c:v>
                </c:pt>
                <c:pt idx="2">
                  <c:v>31</c:v>
                </c:pt>
                <c:pt idx="3">
                  <c:v>29</c:v>
                </c:pt>
                <c:pt idx="4">
                  <c:v>34</c:v>
                </c:pt>
                <c:pt idx="5">
                  <c:v>31</c:v>
                </c:pt>
                <c:pt idx="6">
                  <c:v>27</c:v>
                </c:pt>
                <c:pt idx="7">
                  <c:v>32</c:v>
                </c:pt>
                <c:pt idx="8">
                  <c:v>27</c:v>
                </c:pt>
                <c:pt idx="9">
                  <c:v>27</c:v>
                </c:pt>
                <c:pt idx="10">
                  <c:v>33</c:v>
                </c:pt>
                <c:pt idx="11">
                  <c:v>42</c:v>
                </c:pt>
                <c:pt idx="12">
                  <c:v>25</c:v>
                </c:pt>
                <c:pt idx="13">
                  <c:v>34</c:v>
                </c:pt>
                <c:pt idx="14">
                  <c:v>32</c:v>
                </c:pt>
                <c:pt idx="15">
                  <c:v>34</c:v>
                </c:pt>
                <c:pt idx="16">
                  <c:v>26</c:v>
                </c:pt>
                <c:pt idx="17">
                  <c:v>36</c:v>
                </c:pt>
                <c:pt idx="18">
                  <c:v>31</c:v>
                </c:pt>
                <c:pt idx="19">
                  <c:v>32</c:v>
                </c:pt>
                <c:pt idx="20">
                  <c:v>33</c:v>
                </c:pt>
                <c:pt idx="21">
                  <c:v>39</c:v>
                </c:pt>
                <c:pt idx="22">
                  <c:v>27</c:v>
                </c:pt>
                <c:pt idx="23">
                  <c:v>32</c:v>
                </c:pt>
                <c:pt idx="24">
                  <c:v>33</c:v>
                </c:pt>
                <c:pt idx="25">
                  <c:v>34</c:v>
                </c:pt>
                <c:pt idx="26">
                  <c:v>35</c:v>
                </c:pt>
                <c:pt idx="27">
                  <c:v>32</c:v>
                </c:pt>
                <c:pt idx="28">
                  <c:v>27</c:v>
                </c:pt>
                <c:pt idx="29">
                  <c:v>30</c:v>
                </c:pt>
              </c:numCache>
            </c:numRef>
          </c:val>
          <c:extLst>
            <c:ext xmlns:c16="http://schemas.microsoft.com/office/drawing/2014/chart" uri="{C3380CC4-5D6E-409C-BE32-E72D297353CC}">
              <c16:uniqueId val="{00000000-F31C-46B9-95C9-698A8D6916C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35503936"/>
        <c:axId val="1135501536"/>
      </c:areaChart>
      <c:catAx>
        <c:axId val="11355039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35501536"/>
        <c:crosses val="autoZero"/>
        <c:auto val="1"/>
        <c:lblAlgn val="ctr"/>
        <c:lblOffset val="100"/>
        <c:noMultiLvlLbl val="0"/>
      </c:catAx>
      <c:valAx>
        <c:axId val="1135501536"/>
        <c:scaling>
          <c:orientation val="minMax"/>
        </c:scaling>
        <c:delete val="1"/>
        <c:axPos val="l"/>
        <c:numFmt formatCode="General" sourceLinked="1"/>
        <c:majorTickMark val="out"/>
        <c:minorTickMark val="none"/>
        <c:tickLblPos val="nextTo"/>
        <c:crossAx val="113550393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6">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 Excel.xlsx]Piviot Report!PivotTable5</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Average patient waittime </a:t>
            </a:r>
            <a:endParaRPr lang="en-US"/>
          </a:p>
          <a:p>
            <a:pPr>
              <a:defRPr/>
            </a:pPr>
            <a:endParaRPr lang="en-US"/>
          </a:p>
        </c:rich>
      </c:tx>
      <c:layout>
        <c:manualLayout>
          <c:xMode val="edge"/>
          <c:yMode val="edge"/>
          <c:x val="0.34624579962538959"/>
          <c:y val="3.7043050031117242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907184964408009E-2"/>
          <c:y val="9.1477663230240536E-2"/>
          <c:w val="0.94329149450378114"/>
          <c:h val="0.79640311713613121"/>
        </c:manualLayout>
      </c:layout>
      <c:areaChart>
        <c:grouping val="standard"/>
        <c:varyColors val="0"/>
        <c:ser>
          <c:idx val="0"/>
          <c:order val="0"/>
          <c:tx>
            <c:strRef>
              <c:f>'Piviot Report'!$J$3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'Piviot Report'!$I$4:$I$34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'Piviot Report'!$J$4:$J$34</c:f>
              <c:numCache>
                <c:formatCode>0.00</c:formatCode>
                <c:ptCount val="30"/>
                <c:pt idx="0">
                  <c:v>37.12903225806452</c:v>
                </c:pt>
                <c:pt idx="1">
                  <c:v>35.34375</c:v>
                </c:pt>
                <c:pt idx="2">
                  <c:v>33.064516129032256</c:v>
                </c:pt>
                <c:pt idx="3">
                  <c:v>33.482758620689658</c:v>
                </c:pt>
                <c:pt idx="4">
                  <c:v>34</c:v>
                </c:pt>
                <c:pt idx="5">
                  <c:v>34.354838709677416</c:v>
                </c:pt>
                <c:pt idx="6">
                  <c:v>32.666666666666664</c:v>
                </c:pt>
                <c:pt idx="7">
                  <c:v>30.3125</c:v>
                </c:pt>
                <c:pt idx="8">
                  <c:v>33.925925925925924</c:v>
                </c:pt>
                <c:pt idx="9">
                  <c:v>32.037037037037038</c:v>
                </c:pt>
                <c:pt idx="10">
                  <c:v>38.606060606060609</c:v>
                </c:pt>
                <c:pt idx="11">
                  <c:v>36.761904761904759</c:v>
                </c:pt>
                <c:pt idx="12">
                  <c:v>28.52</c:v>
                </c:pt>
                <c:pt idx="13">
                  <c:v>33.882352941176471</c:v>
                </c:pt>
                <c:pt idx="14">
                  <c:v>39.625</c:v>
                </c:pt>
                <c:pt idx="15">
                  <c:v>31.823529411764707</c:v>
                </c:pt>
                <c:pt idx="16">
                  <c:v>37.769230769230766</c:v>
                </c:pt>
                <c:pt idx="17">
                  <c:v>38.055555555555557</c:v>
                </c:pt>
                <c:pt idx="18">
                  <c:v>30.129032258064516</c:v>
                </c:pt>
                <c:pt idx="19">
                  <c:v>35.03125</c:v>
                </c:pt>
                <c:pt idx="20">
                  <c:v>35.303030303030305</c:v>
                </c:pt>
                <c:pt idx="21">
                  <c:v>35.717948717948715</c:v>
                </c:pt>
                <c:pt idx="22">
                  <c:v>41.407407407407405</c:v>
                </c:pt>
                <c:pt idx="23">
                  <c:v>37.28125</c:v>
                </c:pt>
                <c:pt idx="24">
                  <c:v>38.575757575757578</c:v>
                </c:pt>
                <c:pt idx="25">
                  <c:v>33.411764705882355</c:v>
                </c:pt>
                <c:pt idx="26">
                  <c:v>36.6</c:v>
                </c:pt>
                <c:pt idx="27">
                  <c:v>31.875</c:v>
                </c:pt>
                <c:pt idx="28">
                  <c:v>36.925925925925924</c:v>
                </c:pt>
                <c:pt idx="29">
                  <c:v>33.533333333333331</c:v>
                </c:pt>
              </c:numCache>
            </c:numRef>
          </c:val>
          <c:extLst>
            <c:ext xmlns:c16="http://schemas.microsoft.com/office/drawing/2014/chart" uri="{C3380CC4-5D6E-409C-BE32-E72D297353CC}">
              <c16:uniqueId val="{00000000-0AFF-48FE-AA02-169FC776946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13174992"/>
        <c:axId val="22660607"/>
      </c:areaChart>
      <c:catAx>
        <c:axId val="51317499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2660607"/>
        <c:crosses val="autoZero"/>
        <c:auto val="1"/>
        <c:lblAlgn val="ctr"/>
        <c:lblOffset val="100"/>
        <c:noMultiLvlLbl val="0"/>
      </c:catAx>
      <c:valAx>
        <c:axId val="22660607"/>
        <c:scaling>
          <c:orientation val="minMax"/>
        </c:scaling>
        <c:delete val="1"/>
        <c:axPos val="l"/>
        <c:numFmt formatCode="0.00" sourceLinked="1"/>
        <c:majorTickMark val="out"/>
        <c:minorTickMark val="none"/>
        <c:tickLblPos val="nextTo"/>
        <c:crossAx val="51317499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6">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[Projects Excel.xlsx]Piviot Report!PivotTable6</c:name>
    <c:fmtId val="1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Average patient satisfaction score </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'Piviot 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'Piviot Report'!$L$5:$L$35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'Piviot Report'!$M$5:$M$35</c:f>
              <c:numCache>
                <c:formatCode>0.00</c:formatCode>
                <c:ptCount val="30"/>
                <c:pt idx="0">
                  <c:v>3.8</c:v>
                </c:pt>
                <c:pt idx="1">
                  <c:v>6</c:v>
                </c:pt>
                <c:pt idx="2">
                  <c:v>4.5999999999999996</c:v>
                </c:pt>
                <c:pt idx="3">
                  <c:v>5.7142857142857144</c:v>
                </c:pt>
                <c:pt idx="4">
                  <c:v>4.666666666666667</c:v>
                </c:pt>
                <c:pt idx="5">
                  <c:v>3.4</c:v>
                </c:pt>
                <c:pt idx="6">
                  <c:v>5</c:v>
                </c:pt>
                <c:pt idx="7">
                  <c:v>5.8571428571428568</c:v>
                </c:pt>
                <c:pt idx="8">
                  <c:v>4.8888888888888893</c:v>
                </c:pt>
                <c:pt idx="9">
                  <c:v>6</c:v>
                </c:pt>
                <c:pt idx="10">
                  <c:v>4.7142857142857144</c:v>
                </c:pt>
                <c:pt idx="11">
                  <c:v>7.1428571428571432</c:v>
                </c:pt>
                <c:pt idx="12">
                  <c:v>4.333333333333333</c:v>
                </c:pt>
                <c:pt idx="13">
                  <c:v>6.7333333333333334</c:v>
                </c:pt>
                <c:pt idx="14">
                  <c:v>5.2857142857142856</c:v>
                </c:pt>
                <c:pt idx="15">
                  <c:v>4.916666666666667</c:v>
                </c:pt>
                <c:pt idx="16">
                  <c:v>4.333333333333333</c:v>
                </c:pt>
                <c:pt idx="17">
                  <c:v>5.333333333333333</c:v>
                </c:pt>
                <c:pt idx="18">
                  <c:v>4.3636363636363633</c:v>
                </c:pt>
                <c:pt idx="19">
                  <c:v>2.9090909090909092</c:v>
                </c:pt>
                <c:pt idx="20">
                  <c:v>4.5</c:v>
                </c:pt>
                <c:pt idx="21">
                  <c:v>6.1</c:v>
                </c:pt>
                <c:pt idx="22">
                  <c:v>6.666666666666667</c:v>
                </c:pt>
                <c:pt idx="23">
                  <c:v>5</c:v>
                </c:pt>
                <c:pt idx="24">
                  <c:v>2.5555555555555554</c:v>
                </c:pt>
                <c:pt idx="25">
                  <c:v>5.5714285714285712</c:v>
                </c:pt>
                <c:pt idx="26">
                  <c:v>4.8461538461538458</c:v>
                </c:pt>
                <c:pt idx="27">
                  <c:v>4.8888888888888893</c:v>
                </c:pt>
                <c:pt idx="28">
                  <c:v>4.8</c:v>
                </c:pt>
                <c:pt idx="29">
                  <c:v>5.375</c:v>
                </c:pt>
              </c:numCache>
            </c:numRef>
          </c:val>
          <c:extLst>
            <c:ext xmlns:c16="http://schemas.microsoft.com/office/drawing/2014/chart" uri="{C3380CC4-5D6E-409C-BE32-E72D297353CC}">
              <c16:uniqueId val="{00000001-B45D-4162-9845-77D94A139FA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24785360"/>
        <c:axId val="503346720"/>
      </c:areaChart>
      <c:catAx>
        <c:axId val="112478536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03346720"/>
        <c:crosses val="autoZero"/>
        <c:auto val="1"/>
        <c:lblAlgn val="ctr"/>
        <c:lblOffset val="100"/>
        <c:noMultiLvlLbl val="0"/>
      </c:catAx>
      <c:valAx>
        <c:axId val="503346720"/>
        <c:scaling>
          <c:orientation val="minMax"/>
        </c:scaling>
        <c:delete val="1"/>
        <c:axPos val="l"/>
        <c:numFmt formatCode="0.00" sourceLinked="1"/>
        <c:majorTickMark val="out"/>
        <c:minorTickMark val="none"/>
        <c:tickLblPos val="nextTo"/>
        <c:crossAx val="11247853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6">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daily trends of no. of patient '!A1"/><Relationship Id="rId1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Satisfaction score daily trend'!A1"/><Relationship Id="rId5" Type="http://schemas.openxmlformats.org/officeDocument/2006/relationships/image" Target="../media/image5.png"/><Relationship Id="rId15" Type="http://schemas.openxmlformats.org/officeDocument/2006/relationships/image" Target="../media/image9.emf"/><Relationship Id="rId10" Type="http://schemas.openxmlformats.org/officeDocument/2006/relationships/chart" Target="../charts/chart2.xml"/><Relationship Id="rId19"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hyperlink" Target="#'Average patient waittime '!A1"/><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rd Report'!A1"/></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rd Report'!A1"/><Relationship Id="rId1" Type="http://schemas.openxmlformats.org/officeDocument/2006/relationships/chart" Target="../charts/chart10.xml"/><Relationship Id="rId4" Type="http://schemas.openxmlformats.org/officeDocument/2006/relationships/image" Target="../media/image12.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rd Report'!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20</xdr:col>
      <xdr:colOff>594360</xdr:colOff>
      <xdr:row>2</xdr:row>
      <xdr:rowOff>91440</xdr:rowOff>
    </xdr:from>
    <xdr:to>
      <xdr:col>23</xdr:col>
      <xdr:colOff>464820</xdr:colOff>
      <xdr:row>5</xdr:row>
      <xdr:rowOff>7620</xdr:rowOff>
    </xdr:to>
    <xdr:graphicFrame macro="">
      <xdr:nvGraphicFramePr>
        <xdr:cNvPr id="2" name="Chart 1">
          <a:extLst>
            <a:ext uri="{FF2B5EF4-FFF2-40B4-BE49-F238E27FC236}">
              <a16:creationId xmlns:a16="http://schemas.microsoft.com/office/drawing/2014/main" id="{1BFA38C6-B3D1-6BE5-418B-9B561921B6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77016</xdr:colOff>
      <xdr:row>1</xdr:row>
      <xdr:rowOff>101717</xdr:rowOff>
    </xdr:from>
    <xdr:to>
      <xdr:col>6</xdr:col>
      <xdr:colOff>496388</xdr:colOff>
      <xdr:row>4</xdr:row>
      <xdr:rowOff>107886</xdr:rowOff>
    </xdr:to>
    <xdr:sp macro="" textlink="">
      <xdr:nvSpPr>
        <xdr:cNvPr id="2" name="Rectangle: Rounded Corners 1">
          <a:extLst>
            <a:ext uri="{FF2B5EF4-FFF2-40B4-BE49-F238E27FC236}">
              <a16:creationId xmlns:a16="http://schemas.microsoft.com/office/drawing/2014/main" id="{7A67485F-7C56-0989-0467-0E6D7059684F}"/>
            </a:ext>
          </a:extLst>
        </xdr:cNvPr>
        <xdr:cNvSpPr/>
      </xdr:nvSpPr>
      <xdr:spPr>
        <a:xfrm>
          <a:off x="686616" y="284597"/>
          <a:ext cx="3467372" cy="554809"/>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200">
            <a:solidFill>
              <a:schemeClr val="tx1"/>
            </a:solidFill>
            <a:latin typeface="+mn-lt"/>
            <a:ea typeface="+mn-ea"/>
            <a:cs typeface="+mn-cs"/>
          </a:endParaRPr>
        </a:p>
      </xdr:txBody>
    </xdr:sp>
    <xdr:clientData/>
  </xdr:twoCellAnchor>
  <xdr:twoCellAnchor editAs="absolute">
    <xdr:from>
      <xdr:col>1</xdr:col>
      <xdr:colOff>60960</xdr:colOff>
      <xdr:row>4</xdr:row>
      <xdr:rowOff>173183</xdr:rowOff>
    </xdr:from>
    <xdr:to>
      <xdr:col>2</xdr:col>
      <xdr:colOff>92529</xdr:colOff>
      <xdr:row>22</xdr:row>
      <xdr:rowOff>0</xdr:rowOff>
    </xdr:to>
    <xdr:sp macro="" textlink="">
      <xdr:nvSpPr>
        <xdr:cNvPr id="3" name="Rectangle: Rounded Corners 2">
          <a:extLst>
            <a:ext uri="{FF2B5EF4-FFF2-40B4-BE49-F238E27FC236}">
              <a16:creationId xmlns:a16="http://schemas.microsoft.com/office/drawing/2014/main" id="{D666783E-EE2C-3BD6-9BA7-46237B86BAA3}"/>
            </a:ext>
          </a:extLst>
        </xdr:cNvPr>
        <xdr:cNvSpPr/>
      </xdr:nvSpPr>
      <xdr:spPr>
        <a:xfrm>
          <a:off x="669095" y="905875"/>
          <a:ext cx="639703" cy="3123933"/>
        </a:xfrm>
        <a:prstGeom prst="roundRect">
          <a:avLst>
            <a:gd name="adj" fmla="val 6359"/>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6</xdr:col>
      <xdr:colOff>573133</xdr:colOff>
      <xdr:row>1</xdr:row>
      <xdr:rowOff>77529</xdr:rowOff>
    </xdr:from>
    <xdr:to>
      <xdr:col>8</xdr:col>
      <xdr:colOff>543469</xdr:colOff>
      <xdr:row>4</xdr:row>
      <xdr:rowOff>92647</xdr:rowOff>
    </xdr:to>
    <xdr:sp macro="" textlink="">
      <xdr:nvSpPr>
        <xdr:cNvPr id="11" name="Rectangle: Rounded Corners 10">
          <a:extLst>
            <a:ext uri="{FF2B5EF4-FFF2-40B4-BE49-F238E27FC236}">
              <a16:creationId xmlns:a16="http://schemas.microsoft.com/office/drawing/2014/main" id="{AC0283BB-C760-D711-E7E9-1984EB26086A}"/>
            </a:ext>
          </a:extLst>
        </xdr:cNvPr>
        <xdr:cNvSpPr/>
      </xdr:nvSpPr>
      <xdr:spPr>
        <a:xfrm>
          <a:off x="4230733" y="260409"/>
          <a:ext cx="1189536" cy="563758"/>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9</xdr:col>
      <xdr:colOff>1361</xdr:colOff>
      <xdr:row>1</xdr:row>
      <xdr:rowOff>86477</xdr:rowOff>
    </xdr:from>
    <xdr:to>
      <xdr:col>11</xdr:col>
      <xdr:colOff>216354</xdr:colOff>
      <xdr:row>9</xdr:row>
      <xdr:rowOff>171534</xdr:rowOff>
    </xdr:to>
    <xdr:sp macro="" textlink="">
      <xdr:nvSpPr>
        <xdr:cNvPr id="13" name="Rectangle: Rounded Corners 12">
          <a:extLst>
            <a:ext uri="{FF2B5EF4-FFF2-40B4-BE49-F238E27FC236}">
              <a16:creationId xmlns:a16="http://schemas.microsoft.com/office/drawing/2014/main" id="{ED2A116F-665F-0A6E-6F9D-E363DEB4C134}"/>
            </a:ext>
          </a:extLst>
        </xdr:cNvPr>
        <xdr:cNvSpPr/>
      </xdr:nvSpPr>
      <xdr:spPr>
        <a:xfrm>
          <a:off x="5487761" y="269357"/>
          <a:ext cx="1434193" cy="1548097"/>
        </a:xfrm>
        <a:prstGeom prst="roundRect">
          <a:avLst>
            <a:gd name="adj" fmla="val 7778"/>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2</xdr:col>
      <xdr:colOff>160020</xdr:colOff>
      <xdr:row>4</xdr:row>
      <xdr:rowOff>173183</xdr:rowOff>
    </xdr:from>
    <xdr:to>
      <xdr:col>4</xdr:col>
      <xdr:colOff>235956</xdr:colOff>
      <xdr:row>11</xdr:row>
      <xdr:rowOff>65281</xdr:rowOff>
    </xdr:to>
    <xdr:sp macro="" textlink="">
      <xdr:nvSpPr>
        <xdr:cNvPr id="14" name="Rectangle: Rounded Corners 13">
          <a:extLst>
            <a:ext uri="{FF2B5EF4-FFF2-40B4-BE49-F238E27FC236}">
              <a16:creationId xmlns:a16="http://schemas.microsoft.com/office/drawing/2014/main" id="{D8E8E10D-10F7-B5CE-BA48-E39764A18BA0}"/>
            </a:ext>
          </a:extLst>
        </xdr:cNvPr>
        <xdr:cNvSpPr/>
      </xdr:nvSpPr>
      <xdr:spPr>
        <a:xfrm>
          <a:off x="1376289" y="905875"/>
          <a:ext cx="1292205" cy="1174310"/>
        </a:xfrm>
        <a:prstGeom prst="roundRect">
          <a:avLst>
            <a:gd name="adj" fmla="val 3995"/>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4</xdr:col>
      <xdr:colOff>313777</xdr:colOff>
      <xdr:row>4</xdr:row>
      <xdr:rowOff>165856</xdr:rowOff>
    </xdr:from>
    <xdr:to>
      <xdr:col>6</xdr:col>
      <xdr:colOff>389713</xdr:colOff>
      <xdr:row>11</xdr:row>
      <xdr:rowOff>57954</xdr:rowOff>
    </xdr:to>
    <xdr:sp macro="" textlink="">
      <xdr:nvSpPr>
        <xdr:cNvPr id="15" name="Rectangle: Rounded Corners 14">
          <a:extLst>
            <a:ext uri="{FF2B5EF4-FFF2-40B4-BE49-F238E27FC236}">
              <a16:creationId xmlns:a16="http://schemas.microsoft.com/office/drawing/2014/main" id="{4BFC69AD-D425-A9BB-61B9-DC3DF9550B5D}"/>
            </a:ext>
          </a:extLst>
        </xdr:cNvPr>
        <xdr:cNvSpPr/>
      </xdr:nvSpPr>
      <xdr:spPr>
        <a:xfrm>
          <a:off x="2746315" y="898548"/>
          <a:ext cx="1292206" cy="1174310"/>
        </a:xfrm>
        <a:prstGeom prst="roundRect">
          <a:avLst>
            <a:gd name="adj" fmla="val 3371"/>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6</xdr:col>
      <xdr:colOff>460207</xdr:colOff>
      <xdr:row>4</xdr:row>
      <xdr:rowOff>173183</xdr:rowOff>
    </xdr:from>
    <xdr:to>
      <xdr:col>8</xdr:col>
      <xdr:colOff>536143</xdr:colOff>
      <xdr:row>11</xdr:row>
      <xdr:rowOff>65281</xdr:rowOff>
    </xdr:to>
    <xdr:sp macro="" textlink="">
      <xdr:nvSpPr>
        <xdr:cNvPr id="16" name="Rectangle: Rounded Corners 15">
          <a:extLst>
            <a:ext uri="{FF2B5EF4-FFF2-40B4-BE49-F238E27FC236}">
              <a16:creationId xmlns:a16="http://schemas.microsoft.com/office/drawing/2014/main" id="{0E832E7E-662C-35F7-CF2E-4DC006FFEC69}"/>
            </a:ext>
          </a:extLst>
        </xdr:cNvPr>
        <xdr:cNvSpPr/>
      </xdr:nvSpPr>
      <xdr:spPr>
        <a:xfrm>
          <a:off x="4109015" y="905875"/>
          <a:ext cx="1292205" cy="1174310"/>
        </a:xfrm>
        <a:prstGeom prst="roundRect">
          <a:avLst>
            <a:gd name="adj" fmla="val 3995"/>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11</xdr:col>
      <xdr:colOff>300718</xdr:colOff>
      <xdr:row>1</xdr:row>
      <xdr:rowOff>68580</xdr:rowOff>
    </xdr:from>
    <xdr:to>
      <xdr:col>13</xdr:col>
      <xdr:colOff>515711</xdr:colOff>
      <xdr:row>9</xdr:row>
      <xdr:rowOff>171534</xdr:rowOff>
    </xdr:to>
    <xdr:sp macro="" textlink="">
      <xdr:nvSpPr>
        <xdr:cNvPr id="18" name="Rectangle: Rounded Corners 17">
          <a:extLst>
            <a:ext uri="{FF2B5EF4-FFF2-40B4-BE49-F238E27FC236}">
              <a16:creationId xmlns:a16="http://schemas.microsoft.com/office/drawing/2014/main" id="{9AA0A3A8-FE0D-1ECB-A9AA-1A513E5C803A}"/>
            </a:ext>
          </a:extLst>
        </xdr:cNvPr>
        <xdr:cNvSpPr/>
      </xdr:nvSpPr>
      <xdr:spPr>
        <a:xfrm>
          <a:off x="7006318" y="251460"/>
          <a:ext cx="1434193" cy="1565994"/>
        </a:xfrm>
        <a:prstGeom prst="roundRect">
          <a:avLst>
            <a:gd name="adj" fmla="val 7778"/>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8</xdr:col>
      <xdr:colOff>602168</xdr:colOff>
      <xdr:row>10</xdr:row>
      <xdr:rowOff>63485</xdr:rowOff>
    </xdr:from>
    <xdr:to>
      <xdr:col>13</xdr:col>
      <xdr:colOff>533692</xdr:colOff>
      <xdr:row>22</xdr:row>
      <xdr:rowOff>7327</xdr:rowOff>
    </xdr:to>
    <xdr:sp macro="" textlink="">
      <xdr:nvSpPr>
        <xdr:cNvPr id="19" name="Rectangle: Rounded Corners 18">
          <a:extLst>
            <a:ext uri="{FF2B5EF4-FFF2-40B4-BE49-F238E27FC236}">
              <a16:creationId xmlns:a16="http://schemas.microsoft.com/office/drawing/2014/main" id="{DD165406-7888-E41F-21B6-F77FEF55AE3B}"/>
            </a:ext>
          </a:extLst>
        </xdr:cNvPr>
        <xdr:cNvSpPr/>
      </xdr:nvSpPr>
      <xdr:spPr>
        <a:xfrm>
          <a:off x="5467245" y="1895216"/>
          <a:ext cx="2972197" cy="2141919"/>
        </a:xfrm>
        <a:prstGeom prst="roundRect">
          <a:avLst>
            <a:gd name="adj" fmla="val 3671"/>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2</xdr:col>
      <xdr:colOff>168456</xdr:colOff>
      <xdr:row>11</xdr:row>
      <xdr:rowOff>136870</xdr:rowOff>
    </xdr:from>
    <xdr:to>
      <xdr:col>8</xdr:col>
      <xdr:colOff>535032</xdr:colOff>
      <xdr:row>15</xdr:row>
      <xdr:rowOff>13851</xdr:rowOff>
    </xdr:to>
    <xdr:sp macro="" textlink="">
      <xdr:nvSpPr>
        <xdr:cNvPr id="20" name="Rectangle: Rounded Corners 19">
          <a:extLst>
            <a:ext uri="{FF2B5EF4-FFF2-40B4-BE49-F238E27FC236}">
              <a16:creationId xmlns:a16="http://schemas.microsoft.com/office/drawing/2014/main" id="{6C2E8469-68E8-4D27-EE07-941C7728CD25}"/>
            </a:ext>
          </a:extLst>
        </xdr:cNvPr>
        <xdr:cNvSpPr/>
      </xdr:nvSpPr>
      <xdr:spPr>
        <a:xfrm>
          <a:off x="1387656" y="2148550"/>
          <a:ext cx="4024176" cy="608501"/>
        </a:xfrm>
        <a:prstGeom prst="roundRect">
          <a:avLst>
            <a:gd name="adj" fmla="val 12787"/>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2</xdr:col>
      <xdr:colOff>168456</xdr:colOff>
      <xdr:row>15</xdr:row>
      <xdr:rowOff>85439</xdr:rowOff>
    </xdr:from>
    <xdr:to>
      <xdr:col>8</xdr:col>
      <xdr:colOff>535032</xdr:colOff>
      <xdr:row>22</xdr:row>
      <xdr:rowOff>14654</xdr:rowOff>
    </xdr:to>
    <xdr:sp macro="" textlink="">
      <xdr:nvSpPr>
        <xdr:cNvPr id="21" name="Rectangle: Rounded Corners 20">
          <a:extLst>
            <a:ext uri="{FF2B5EF4-FFF2-40B4-BE49-F238E27FC236}">
              <a16:creationId xmlns:a16="http://schemas.microsoft.com/office/drawing/2014/main" id="{C0F4C269-2DDA-1B7D-E3DD-BC62F97C0DC4}"/>
            </a:ext>
          </a:extLst>
        </xdr:cNvPr>
        <xdr:cNvSpPr/>
      </xdr:nvSpPr>
      <xdr:spPr>
        <a:xfrm>
          <a:off x="1384725" y="2833035"/>
          <a:ext cx="4015384" cy="1211427"/>
        </a:xfrm>
        <a:prstGeom prst="roundRect">
          <a:avLst>
            <a:gd name="adj" fmla="val 3339"/>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2</xdr:col>
      <xdr:colOff>175260</xdr:colOff>
      <xdr:row>1</xdr:row>
      <xdr:rowOff>137160</xdr:rowOff>
    </xdr:from>
    <xdr:to>
      <xdr:col>6</xdr:col>
      <xdr:colOff>579120</xdr:colOff>
      <xdr:row>3</xdr:row>
      <xdr:rowOff>121920</xdr:rowOff>
    </xdr:to>
    <xdr:sp macro="" textlink="">
      <xdr:nvSpPr>
        <xdr:cNvPr id="26" name="TextBox 25">
          <a:extLst>
            <a:ext uri="{FF2B5EF4-FFF2-40B4-BE49-F238E27FC236}">
              <a16:creationId xmlns:a16="http://schemas.microsoft.com/office/drawing/2014/main" id="{07480CFC-C37A-AC4F-0716-0EBC7737C5C6}"/>
            </a:ext>
          </a:extLst>
        </xdr:cNvPr>
        <xdr:cNvSpPr txBox="1"/>
      </xdr:nvSpPr>
      <xdr:spPr>
        <a:xfrm>
          <a:off x="1394460" y="320040"/>
          <a:ext cx="284226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0"/>
            <a:t>Hospital</a:t>
          </a:r>
          <a:r>
            <a:rPr lang="en-IN" sz="1400" b="0" baseline="0"/>
            <a:t> Emergency Room Dashbord</a:t>
          </a:r>
          <a:endParaRPr lang="en-IN" sz="1400" b="0"/>
        </a:p>
      </xdr:txBody>
    </xdr:sp>
    <xdr:clientData/>
  </xdr:twoCellAnchor>
  <xdr:twoCellAnchor editAs="oneCell">
    <xdr:from>
      <xdr:col>1</xdr:col>
      <xdr:colOff>144780</xdr:colOff>
      <xdr:row>1</xdr:row>
      <xdr:rowOff>148360</xdr:rowOff>
    </xdr:from>
    <xdr:to>
      <xdr:col>2</xdr:col>
      <xdr:colOff>121920</xdr:colOff>
      <xdr:row>4</xdr:row>
      <xdr:rowOff>15240</xdr:rowOff>
    </xdr:to>
    <xdr:pic>
      <xdr:nvPicPr>
        <xdr:cNvPr id="28" name="Picture 27">
          <a:extLst>
            <a:ext uri="{FF2B5EF4-FFF2-40B4-BE49-F238E27FC236}">
              <a16:creationId xmlns:a16="http://schemas.microsoft.com/office/drawing/2014/main" id="{2896DE11-CCB3-5A31-7054-731DB2D5EC2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4112" t="15225" r="23365" b="15917"/>
        <a:stretch/>
      </xdr:blipFill>
      <xdr:spPr>
        <a:xfrm>
          <a:off x="754380" y="331240"/>
          <a:ext cx="586740" cy="415520"/>
        </a:xfrm>
        <a:prstGeom prst="rect">
          <a:avLst/>
        </a:prstGeom>
      </xdr:spPr>
    </xdr:pic>
    <xdr:clientData/>
  </xdr:twoCellAnchor>
  <xdr:twoCellAnchor editAs="absolute">
    <xdr:from>
      <xdr:col>2</xdr:col>
      <xdr:colOff>167640</xdr:colOff>
      <xdr:row>1</xdr:row>
      <xdr:rowOff>137160</xdr:rowOff>
    </xdr:from>
    <xdr:to>
      <xdr:col>6</xdr:col>
      <xdr:colOff>571500</xdr:colOff>
      <xdr:row>3</xdr:row>
      <xdr:rowOff>121920</xdr:rowOff>
    </xdr:to>
    <xdr:sp macro="" textlink="">
      <xdr:nvSpPr>
        <xdr:cNvPr id="30" name="TextBox 29">
          <a:extLst>
            <a:ext uri="{FF2B5EF4-FFF2-40B4-BE49-F238E27FC236}">
              <a16:creationId xmlns:a16="http://schemas.microsoft.com/office/drawing/2014/main" id="{C596540A-2D6F-A6BA-FAEF-E3696E880377}"/>
            </a:ext>
          </a:extLst>
        </xdr:cNvPr>
        <xdr:cNvSpPr txBox="1"/>
      </xdr:nvSpPr>
      <xdr:spPr>
        <a:xfrm>
          <a:off x="1386840" y="320040"/>
          <a:ext cx="284226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0"/>
            <a:t>Hospital</a:t>
          </a:r>
          <a:r>
            <a:rPr lang="en-IN" sz="1400" b="0" baseline="0"/>
            <a:t> Emergency Room Dashbord</a:t>
          </a:r>
          <a:endParaRPr lang="en-IN" sz="1400" b="0"/>
        </a:p>
      </xdr:txBody>
    </xdr:sp>
    <xdr:clientData/>
  </xdr:twoCellAnchor>
  <xdr:twoCellAnchor editAs="oneCell">
    <xdr:from>
      <xdr:col>1</xdr:col>
      <xdr:colOff>117232</xdr:colOff>
      <xdr:row>1</xdr:row>
      <xdr:rowOff>146539</xdr:rowOff>
    </xdr:from>
    <xdr:to>
      <xdr:col>2</xdr:col>
      <xdr:colOff>137420</xdr:colOff>
      <xdr:row>4</xdr:row>
      <xdr:rowOff>58616</xdr:rowOff>
    </xdr:to>
    <xdr:pic>
      <xdr:nvPicPr>
        <xdr:cNvPr id="33" name="Picture 32">
          <a:extLst>
            <a:ext uri="{FF2B5EF4-FFF2-40B4-BE49-F238E27FC236}">
              <a16:creationId xmlns:a16="http://schemas.microsoft.com/office/drawing/2014/main" id="{5F6C0B88-D8A0-9988-27E5-0577707E69A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4225" t="14682" r="23421" b="16046"/>
        <a:stretch/>
      </xdr:blipFill>
      <xdr:spPr>
        <a:xfrm>
          <a:off x="725367" y="329712"/>
          <a:ext cx="628322" cy="461596"/>
        </a:xfrm>
        <a:prstGeom prst="rect">
          <a:avLst/>
        </a:prstGeom>
      </xdr:spPr>
    </xdr:pic>
    <xdr:clientData/>
  </xdr:twoCellAnchor>
  <xdr:twoCellAnchor editAs="absolute">
    <xdr:from>
      <xdr:col>3</xdr:col>
      <xdr:colOff>131007</xdr:colOff>
      <xdr:row>5</xdr:row>
      <xdr:rowOff>98180</xdr:rowOff>
    </xdr:from>
    <xdr:to>
      <xdr:col>3</xdr:col>
      <xdr:colOff>549520</xdr:colOff>
      <xdr:row>6</xdr:row>
      <xdr:rowOff>153865</xdr:rowOff>
    </xdr:to>
    <xdr:sp macro="" textlink="'Piviot Report'!B4">
      <xdr:nvSpPr>
        <xdr:cNvPr id="35" name="TextBox 34">
          <a:extLst>
            <a:ext uri="{FF2B5EF4-FFF2-40B4-BE49-F238E27FC236}">
              <a16:creationId xmlns:a16="http://schemas.microsoft.com/office/drawing/2014/main" id="{766C8F70-5247-BC41-01C4-D3D03B692FB0}"/>
            </a:ext>
          </a:extLst>
        </xdr:cNvPr>
        <xdr:cNvSpPr txBox="1"/>
      </xdr:nvSpPr>
      <xdr:spPr>
        <a:xfrm>
          <a:off x="1955411" y="1014045"/>
          <a:ext cx="418513" cy="238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CE3B773D-C453-4DDC-A2BE-B67E6636D2AB}" type="TxLink">
            <a:rPr lang="en-US" sz="1600" b="1" i="0" u="none" strike="noStrike">
              <a:solidFill>
                <a:srgbClr val="000000"/>
              </a:solidFill>
              <a:latin typeface="Calibri"/>
              <a:ea typeface="Calibri"/>
              <a:cs typeface="Calibri"/>
            </a:rPr>
            <a:pPr marL="0" indent="0"/>
            <a:t>948</a:t>
          </a:fld>
          <a:endParaRPr lang="en-IN" sz="1600" b="1" i="0" u="none" strike="noStrike">
            <a:solidFill>
              <a:srgbClr val="000000"/>
            </a:solidFill>
            <a:latin typeface="Calibri"/>
            <a:ea typeface="Calibri"/>
            <a:cs typeface="Calibri"/>
          </a:endParaRPr>
        </a:p>
      </xdr:txBody>
    </xdr:sp>
    <xdr:clientData/>
  </xdr:twoCellAnchor>
  <xdr:twoCellAnchor editAs="absolute">
    <xdr:from>
      <xdr:col>2</xdr:col>
      <xdr:colOff>387448</xdr:colOff>
      <xdr:row>6</xdr:row>
      <xdr:rowOff>164122</xdr:rowOff>
    </xdr:from>
    <xdr:to>
      <xdr:col>4</xdr:col>
      <xdr:colOff>263770</xdr:colOff>
      <xdr:row>8</xdr:row>
      <xdr:rowOff>36633</xdr:rowOff>
    </xdr:to>
    <xdr:sp macro="" textlink="">
      <xdr:nvSpPr>
        <xdr:cNvPr id="36" name="TextBox 35">
          <a:extLst>
            <a:ext uri="{FF2B5EF4-FFF2-40B4-BE49-F238E27FC236}">
              <a16:creationId xmlns:a16="http://schemas.microsoft.com/office/drawing/2014/main" id="{A225CFCE-59AA-EE82-9B2E-A3F030B4567C}"/>
            </a:ext>
          </a:extLst>
        </xdr:cNvPr>
        <xdr:cNvSpPr txBox="1"/>
      </xdr:nvSpPr>
      <xdr:spPr>
        <a:xfrm>
          <a:off x="1603717" y="1263160"/>
          <a:ext cx="1092591" cy="238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0"/>
            <a:t>No.</a:t>
          </a:r>
          <a:r>
            <a:rPr lang="en-IN" sz="1100" b="0" baseline="0"/>
            <a:t> of Patients</a:t>
          </a:r>
          <a:endParaRPr lang="en-IN" sz="1100" b="0"/>
        </a:p>
      </xdr:txBody>
    </xdr:sp>
    <xdr:clientData/>
  </xdr:twoCellAnchor>
  <xdr:twoCellAnchor editAs="absolute">
    <xdr:from>
      <xdr:col>3</xdr:col>
      <xdr:colOff>262890</xdr:colOff>
      <xdr:row>3</xdr:row>
      <xdr:rowOff>2930</xdr:rowOff>
    </xdr:from>
    <xdr:to>
      <xdr:col>5</xdr:col>
      <xdr:colOff>139212</xdr:colOff>
      <xdr:row>4</xdr:row>
      <xdr:rowOff>58615</xdr:rowOff>
    </xdr:to>
    <xdr:sp macro="" textlink="">
      <xdr:nvSpPr>
        <xdr:cNvPr id="37" name="TextBox 36">
          <a:extLst>
            <a:ext uri="{FF2B5EF4-FFF2-40B4-BE49-F238E27FC236}">
              <a16:creationId xmlns:a16="http://schemas.microsoft.com/office/drawing/2014/main" id="{DD35FDBF-4E06-876F-6FA8-FB14A8DBA760}"/>
            </a:ext>
          </a:extLst>
        </xdr:cNvPr>
        <xdr:cNvSpPr txBox="1"/>
      </xdr:nvSpPr>
      <xdr:spPr>
        <a:xfrm>
          <a:off x="2087294" y="552449"/>
          <a:ext cx="1092591" cy="238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0"/>
            <a:t>Monthly</a:t>
          </a:r>
          <a:r>
            <a:rPr lang="en-IN" sz="1100" b="0" baseline="0"/>
            <a:t> Report</a:t>
          </a:r>
          <a:endParaRPr lang="en-IN" sz="1100" b="0"/>
        </a:p>
      </xdr:txBody>
    </xdr:sp>
    <xdr:clientData/>
  </xdr:twoCellAnchor>
  <xdr:twoCellAnchor editAs="absolute">
    <xdr:from>
      <xdr:col>5</xdr:col>
      <xdr:colOff>233584</xdr:colOff>
      <xdr:row>5</xdr:row>
      <xdr:rowOff>90853</xdr:rowOff>
    </xdr:from>
    <xdr:to>
      <xdr:col>6</xdr:col>
      <xdr:colOff>161194</xdr:colOff>
      <xdr:row>6</xdr:row>
      <xdr:rowOff>146538</xdr:rowOff>
    </xdr:to>
    <xdr:sp macro="" textlink="'Piviot Report'!B9">
      <xdr:nvSpPr>
        <xdr:cNvPr id="41" name="TextBox 40">
          <a:extLst>
            <a:ext uri="{FF2B5EF4-FFF2-40B4-BE49-F238E27FC236}">
              <a16:creationId xmlns:a16="http://schemas.microsoft.com/office/drawing/2014/main" id="{91C55FE6-315F-ACE1-960A-D5B289D88AC0}"/>
            </a:ext>
          </a:extLst>
        </xdr:cNvPr>
        <xdr:cNvSpPr txBox="1"/>
      </xdr:nvSpPr>
      <xdr:spPr>
        <a:xfrm>
          <a:off x="3274257" y="1006718"/>
          <a:ext cx="535745" cy="238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33D84E00-2E69-4AED-9DD7-95A543BBB6E3}" type="TxLink">
            <a:rPr lang="en-US" sz="1600" b="1" i="0" u="none" strike="noStrike">
              <a:solidFill>
                <a:srgbClr val="000000"/>
              </a:solidFill>
              <a:latin typeface="Calibri"/>
              <a:ea typeface="Calibri"/>
              <a:cs typeface="Calibri"/>
            </a:rPr>
            <a:pPr marL="0" indent="0"/>
            <a:t>34.97</a:t>
          </a:fld>
          <a:endParaRPr lang="en-IN" sz="1600" b="1" i="0" u="none" strike="noStrike">
            <a:solidFill>
              <a:srgbClr val="000000"/>
            </a:solidFill>
            <a:latin typeface="Calibri"/>
            <a:ea typeface="Calibri"/>
            <a:cs typeface="Calibri"/>
          </a:endParaRPr>
        </a:p>
      </xdr:txBody>
    </xdr:sp>
    <xdr:clientData/>
  </xdr:twoCellAnchor>
  <xdr:twoCellAnchor editAs="absolute">
    <xdr:from>
      <xdr:col>4</xdr:col>
      <xdr:colOff>416756</xdr:colOff>
      <xdr:row>6</xdr:row>
      <xdr:rowOff>156795</xdr:rowOff>
    </xdr:from>
    <xdr:to>
      <xdr:col>6</xdr:col>
      <xdr:colOff>293077</xdr:colOff>
      <xdr:row>8</xdr:row>
      <xdr:rowOff>29306</xdr:rowOff>
    </xdr:to>
    <xdr:sp macro="" textlink="">
      <xdr:nvSpPr>
        <xdr:cNvPr id="42" name="TextBox 41">
          <a:extLst>
            <a:ext uri="{FF2B5EF4-FFF2-40B4-BE49-F238E27FC236}">
              <a16:creationId xmlns:a16="http://schemas.microsoft.com/office/drawing/2014/main" id="{6A588158-DF00-177B-8609-5430B426162E}"/>
            </a:ext>
          </a:extLst>
        </xdr:cNvPr>
        <xdr:cNvSpPr txBox="1"/>
      </xdr:nvSpPr>
      <xdr:spPr>
        <a:xfrm>
          <a:off x="2849294" y="1255833"/>
          <a:ext cx="1092591" cy="238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0"/>
            <a:t>Average Wait Time</a:t>
          </a:r>
        </a:p>
      </xdr:txBody>
    </xdr:sp>
    <xdr:clientData/>
  </xdr:twoCellAnchor>
  <xdr:twoCellAnchor editAs="absolute">
    <xdr:from>
      <xdr:col>7</xdr:col>
      <xdr:colOff>438736</xdr:colOff>
      <xdr:row>5</xdr:row>
      <xdr:rowOff>83527</xdr:rowOff>
    </xdr:from>
    <xdr:to>
      <xdr:col>8</xdr:col>
      <xdr:colOff>249114</xdr:colOff>
      <xdr:row>6</xdr:row>
      <xdr:rowOff>139212</xdr:rowOff>
    </xdr:to>
    <xdr:sp macro="" textlink="'Piviot Report'!B14">
      <xdr:nvSpPr>
        <xdr:cNvPr id="43" name="TextBox 42">
          <a:extLst>
            <a:ext uri="{FF2B5EF4-FFF2-40B4-BE49-F238E27FC236}">
              <a16:creationId xmlns:a16="http://schemas.microsoft.com/office/drawing/2014/main" id="{D7F0A6FB-5CAD-D1A2-F239-0D896299D228}"/>
            </a:ext>
          </a:extLst>
        </xdr:cNvPr>
        <xdr:cNvSpPr txBox="1"/>
      </xdr:nvSpPr>
      <xdr:spPr>
        <a:xfrm>
          <a:off x="4695678" y="999392"/>
          <a:ext cx="418513" cy="238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fld id="{FC8313B2-20CF-43F5-8B03-B102201DEEB5}" type="TxLink">
            <a:rPr lang="en-US" sz="1600" b="1" i="0" u="none" strike="noStrike">
              <a:solidFill>
                <a:srgbClr val="000000"/>
              </a:solidFill>
              <a:latin typeface="Calibri"/>
              <a:ea typeface="Calibri"/>
              <a:cs typeface="Calibri"/>
            </a:rPr>
            <a:pPr marL="0" indent="0"/>
            <a:t>4.99</a:t>
          </a:fld>
          <a:endParaRPr lang="en-IN" sz="1600" b="1" i="0" u="none" strike="noStrike">
            <a:solidFill>
              <a:srgbClr val="000000"/>
            </a:solidFill>
            <a:latin typeface="Calibri"/>
            <a:ea typeface="Calibri"/>
            <a:cs typeface="Calibri"/>
          </a:endParaRPr>
        </a:p>
      </xdr:txBody>
    </xdr:sp>
    <xdr:clientData/>
  </xdr:twoCellAnchor>
  <xdr:twoCellAnchor editAs="absolute">
    <xdr:from>
      <xdr:col>6</xdr:col>
      <xdr:colOff>592601</xdr:colOff>
      <xdr:row>6</xdr:row>
      <xdr:rowOff>164121</xdr:rowOff>
    </xdr:from>
    <xdr:to>
      <xdr:col>8</xdr:col>
      <xdr:colOff>468923</xdr:colOff>
      <xdr:row>8</xdr:row>
      <xdr:rowOff>36632</xdr:rowOff>
    </xdr:to>
    <xdr:sp macro="" textlink="">
      <xdr:nvSpPr>
        <xdr:cNvPr id="44" name="TextBox 43">
          <a:extLst>
            <a:ext uri="{FF2B5EF4-FFF2-40B4-BE49-F238E27FC236}">
              <a16:creationId xmlns:a16="http://schemas.microsoft.com/office/drawing/2014/main" id="{DD391B34-9079-2D50-CB2F-562D58C29792}"/>
            </a:ext>
          </a:extLst>
        </xdr:cNvPr>
        <xdr:cNvSpPr txBox="1"/>
      </xdr:nvSpPr>
      <xdr:spPr>
        <a:xfrm>
          <a:off x="4241409" y="1263159"/>
          <a:ext cx="1092591" cy="238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0"/>
            <a:t>Satisfaction Score</a:t>
          </a:r>
        </a:p>
      </xdr:txBody>
    </xdr:sp>
    <xdr:clientData/>
  </xdr:twoCellAnchor>
  <xdr:twoCellAnchor editAs="oneCell">
    <xdr:from>
      <xdr:col>2</xdr:col>
      <xdr:colOff>271097</xdr:colOff>
      <xdr:row>5</xdr:row>
      <xdr:rowOff>29308</xdr:rowOff>
    </xdr:from>
    <xdr:to>
      <xdr:col>3</xdr:col>
      <xdr:colOff>0</xdr:colOff>
      <xdr:row>6</xdr:row>
      <xdr:rowOff>183173</xdr:rowOff>
    </xdr:to>
    <xdr:pic>
      <xdr:nvPicPr>
        <xdr:cNvPr id="50" name="Graphic 49" descr="User with solid fill">
          <a:extLst>
            <a:ext uri="{FF2B5EF4-FFF2-40B4-BE49-F238E27FC236}">
              <a16:creationId xmlns:a16="http://schemas.microsoft.com/office/drawing/2014/main" id="{FEE2C8DE-786D-A233-6382-7433A45C001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87366" y="945173"/>
          <a:ext cx="337038" cy="337038"/>
        </a:xfrm>
        <a:prstGeom prst="rect">
          <a:avLst/>
        </a:prstGeom>
      </xdr:spPr>
    </xdr:pic>
    <xdr:clientData/>
  </xdr:twoCellAnchor>
  <xdr:twoCellAnchor editAs="oneCell">
    <xdr:from>
      <xdr:col>4</xdr:col>
      <xdr:colOff>446944</xdr:colOff>
      <xdr:row>5</xdr:row>
      <xdr:rowOff>29310</xdr:rowOff>
    </xdr:from>
    <xdr:to>
      <xdr:col>5</xdr:col>
      <xdr:colOff>131885</xdr:colOff>
      <xdr:row>6</xdr:row>
      <xdr:rowOff>139213</xdr:rowOff>
    </xdr:to>
    <xdr:pic>
      <xdr:nvPicPr>
        <xdr:cNvPr id="52" name="Graphic 51" descr="Hourglass Finished with solid fill">
          <a:extLst>
            <a:ext uri="{FF2B5EF4-FFF2-40B4-BE49-F238E27FC236}">
              <a16:creationId xmlns:a16="http://schemas.microsoft.com/office/drawing/2014/main" id="{4DBEC276-52DB-B830-B750-65D0C68F537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79482" y="945175"/>
          <a:ext cx="293076" cy="293076"/>
        </a:xfrm>
        <a:prstGeom prst="rect">
          <a:avLst/>
        </a:prstGeom>
      </xdr:spPr>
    </xdr:pic>
    <xdr:clientData/>
  </xdr:twoCellAnchor>
  <xdr:twoCellAnchor editAs="oneCell">
    <xdr:from>
      <xdr:col>7</xdr:col>
      <xdr:colOff>10789</xdr:colOff>
      <xdr:row>5</xdr:row>
      <xdr:rowOff>40096</xdr:rowOff>
    </xdr:from>
    <xdr:to>
      <xdr:col>7</xdr:col>
      <xdr:colOff>300405</xdr:colOff>
      <xdr:row>6</xdr:row>
      <xdr:rowOff>146539</xdr:rowOff>
    </xdr:to>
    <xdr:pic>
      <xdr:nvPicPr>
        <xdr:cNvPr id="54" name="Graphic 53" descr="Star with solid fill">
          <a:extLst>
            <a:ext uri="{FF2B5EF4-FFF2-40B4-BE49-F238E27FC236}">
              <a16:creationId xmlns:a16="http://schemas.microsoft.com/office/drawing/2014/main" id="{083780D3-C7C9-CA3A-6979-E9226E398F1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267731" y="955961"/>
          <a:ext cx="289616" cy="289616"/>
        </a:xfrm>
        <a:prstGeom prst="rect">
          <a:avLst/>
        </a:prstGeom>
      </xdr:spPr>
    </xdr:pic>
    <xdr:clientData/>
  </xdr:twoCellAnchor>
  <xdr:twoCellAnchor editAs="oneCell">
    <xdr:from>
      <xdr:col>1</xdr:col>
      <xdr:colOff>77079</xdr:colOff>
      <xdr:row>5</xdr:row>
      <xdr:rowOff>14653</xdr:rowOff>
    </xdr:from>
    <xdr:to>
      <xdr:col>2</xdr:col>
      <xdr:colOff>72395</xdr:colOff>
      <xdr:row>21</xdr:row>
      <xdr:rowOff>143883</xdr:rowOff>
    </xdr:to>
    <mc:AlternateContent xmlns:mc="http://schemas.openxmlformats.org/markup-compatibility/2006" xmlns:a14="http://schemas.microsoft.com/office/drawing/2010/main">
      <mc:Choice Requires="a14">
        <xdr:graphicFrame macro="">
          <xdr:nvGraphicFramePr>
            <xdr:cNvPr id="55" name="Date (Month)">
              <a:extLst>
                <a:ext uri="{FF2B5EF4-FFF2-40B4-BE49-F238E27FC236}">
                  <a16:creationId xmlns:a16="http://schemas.microsoft.com/office/drawing/2014/main" id="{11E093AA-574C-4CB0-A9A5-A45948CE669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85214" y="930518"/>
              <a:ext cx="603450" cy="30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322385</xdr:colOff>
      <xdr:row>7</xdr:row>
      <xdr:rowOff>117230</xdr:rowOff>
    </xdr:from>
    <xdr:to>
      <xdr:col>6</xdr:col>
      <xdr:colOff>381000</xdr:colOff>
      <xdr:row>11</xdr:row>
      <xdr:rowOff>51288</xdr:rowOff>
    </xdr:to>
    <xdr:graphicFrame macro="">
      <xdr:nvGraphicFramePr>
        <xdr:cNvPr id="57" name="Chart 56">
          <a:hlinkClick xmlns:r="http://schemas.openxmlformats.org/officeDocument/2006/relationships" r:id="rId9"/>
          <a:extLst>
            <a:ext uri="{FF2B5EF4-FFF2-40B4-BE49-F238E27FC236}">
              <a16:creationId xmlns:a16="http://schemas.microsoft.com/office/drawing/2014/main" id="{AF716FCB-C1E6-4971-9DE8-4BFFE391F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454268</xdr:colOff>
      <xdr:row>7</xdr:row>
      <xdr:rowOff>102577</xdr:rowOff>
    </xdr:from>
    <xdr:to>
      <xdr:col>8</xdr:col>
      <xdr:colOff>542192</xdr:colOff>
      <xdr:row>11</xdr:row>
      <xdr:rowOff>58615</xdr:rowOff>
    </xdr:to>
    <xdr:graphicFrame macro="">
      <xdr:nvGraphicFramePr>
        <xdr:cNvPr id="58" name="Chart 57">
          <a:hlinkClick xmlns:r="http://schemas.openxmlformats.org/officeDocument/2006/relationships" r:id="rId11"/>
          <a:extLst>
            <a:ext uri="{FF2B5EF4-FFF2-40B4-BE49-F238E27FC236}">
              <a16:creationId xmlns:a16="http://schemas.microsoft.com/office/drawing/2014/main" id="{12820D2D-AEBA-4A2B-B040-A48AB8C74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169881</xdr:colOff>
      <xdr:row>7</xdr:row>
      <xdr:rowOff>151408</xdr:rowOff>
    </xdr:from>
    <xdr:to>
      <xdr:col>4</xdr:col>
      <xdr:colOff>227136</xdr:colOff>
      <xdr:row>11</xdr:row>
      <xdr:rowOff>58616</xdr:rowOff>
    </xdr:to>
    <xdr:graphicFrame macro="">
      <xdr:nvGraphicFramePr>
        <xdr:cNvPr id="59" name="Chart 58">
          <a:hlinkClick xmlns:r="http://schemas.openxmlformats.org/officeDocument/2006/relationships" r:id="rId13"/>
          <a:extLst>
            <a:ext uri="{FF2B5EF4-FFF2-40B4-BE49-F238E27FC236}">
              <a16:creationId xmlns:a16="http://schemas.microsoft.com/office/drawing/2014/main" id="{DF1903A9-C3DA-4E88-8C8A-E948372F2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197827</xdr:colOff>
          <xdr:row>11</xdr:row>
          <xdr:rowOff>153865</xdr:rowOff>
        </xdr:from>
        <xdr:to>
          <xdr:col>8</xdr:col>
          <xdr:colOff>505558</xdr:colOff>
          <xdr:row>14</xdr:row>
          <xdr:rowOff>161485</xdr:rowOff>
        </xdr:to>
        <xdr:pic>
          <xdr:nvPicPr>
            <xdr:cNvPr id="23" name="Picture 22">
              <a:extLst>
                <a:ext uri="{FF2B5EF4-FFF2-40B4-BE49-F238E27FC236}">
                  <a16:creationId xmlns:a16="http://schemas.microsoft.com/office/drawing/2014/main" id="{2E55976E-ABC8-64F2-CA39-88103C10578C}"/>
                </a:ext>
              </a:extLst>
            </xdr:cNvPr>
            <xdr:cNvPicPr>
              <a:picLocks noChangeAspect="1" noChangeArrowheads="1"/>
              <a:extLst>
                <a:ext uri="{84589F7E-364E-4C9E-8A38-B11213B215E9}">
                  <a14:cameraTool cellRange="'Piviot Report'!$S$3:$X$5" spid="_x0000_s2072"/>
                </a:ext>
              </a:extLst>
            </xdr:cNvPicPr>
          </xdr:nvPicPr>
          <xdr:blipFill>
            <a:blip xmlns:r="http://schemas.openxmlformats.org/officeDocument/2006/relationships" r:embed="rId15"/>
            <a:srcRect/>
            <a:stretch>
              <a:fillRect/>
            </a:stretch>
          </xdr:blipFill>
          <xdr:spPr bwMode="auto">
            <a:xfrm>
              <a:off x="1414096" y="2168769"/>
              <a:ext cx="3956539" cy="55713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161129</xdr:colOff>
      <xdr:row>15</xdr:row>
      <xdr:rowOff>87923</xdr:rowOff>
    </xdr:from>
    <xdr:to>
      <xdr:col>8</xdr:col>
      <xdr:colOff>534864</xdr:colOff>
      <xdr:row>21</xdr:row>
      <xdr:rowOff>36634</xdr:rowOff>
    </xdr:to>
    <xdr:graphicFrame macro="">
      <xdr:nvGraphicFramePr>
        <xdr:cNvPr id="24" name="Chart 23">
          <a:extLst>
            <a:ext uri="{FF2B5EF4-FFF2-40B4-BE49-F238E27FC236}">
              <a16:creationId xmlns:a16="http://schemas.microsoft.com/office/drawing/2014/main" id="{6942B938-09CA-4001-96DC-B136BBF06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4</xdr:col>
      <xdr:colOff>139212</xdr:colOff>
      <xdr:row>20</xdr:row>
      <xdr:rowOff>153865</xdr:rowOff>
    </xdr:from>
    <xdr:ext cx="1516673" cy="249115"/>
    <xdr:sp macro="" textlink="">
      <xdr:nvSpPr>
        <xdr:cNvPr id="25" name="TextBox 24">
          <a:extLst>
            <a:ext uri="{FF2B5EF4-FFF2-40B4-BE49-F238E27FC236}">
              <a16:creationId xmlns:a16="http://schemas.microsoft.com/office/drawing/2014/main" id="{6A47CDE4-88B8-AF26-5883-D4F9B760679A}"/>
            </a:ext>
          </a:extLst>
        </xdr:cNvPr>
        <xdr:cNvSpPr txBox="1"/>
      </xdr:nvSpPr>
      <xdr:spPr>
        <a:xfrm>
          <a:off x="2571750" y="3817327"/>
          <a:ext cx="1516673" cy="2491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050" b="0">
              <a:solidFill>
                <a:schemeClr val="tx1"/>
              </a:solidFill>
              <a:effectLst/>
              <a:latin typeface="+mn-lt"/>
              <a:ea typeface="+mn-ea"/>
              <a:cs typeface="+mn-cs"/>
            </a:rPr>
            <a:t>No.</a:t>
          </a:r>
          <a:r>
            <a:rPr lang="en-IN" sz="1050" b="0" baseline="0">
              <a:solidFill>
                <a:schemeClr val="tx1"/>
              </a:solidFill>
              <a:effectLst/>
              <a:latin typeface="+mn-lt"/>
              <a:ea typeface="+mn-ea"/>
              <a:cs typeface="+mn-cs"/>
            </a:rPr>
            <a:t> of Patients by Age</a:t>
          </a:r>
          <a:endParaRPr lang="en-IN" sz="1050">
            <a:effectLst/>
          </a:endParaRPr>
        </a:p>
        <a:p>
          <a:endParaRPr lang="en-IN" sz="1100"/>
        </a:p>
      </xdr:txBody>
    </xdr:sp>
    <xdr:clientData/>
  </xdr:oneCellAnchor>
  <xdr:twoCellAnchor>
    <xdr:from>
      <xdr:col>9</xdr:col>
      <xdr:colOff>29307</xdr:colOff>
      <xdr:row>1</xdr:row>
      <xdr:rowOff>109904</xdr:rowOff>
    </xdr:from>
    <xdr:to>
      <xdr:col>11</xdr:col>
      <xdr:colOff>212481</xdr:colOff>
      <xdr:row>9</xdr:row>
      <xdr:rowOff>14654</xdr:rowOff>
    </xdr:to>
    <xdr:graphicFrame macro="">
      <xdr:nvGraphicFramePr>
        <xdr:cNvPr id="4" name="Chart 3">
          <a:extLst>
            <a:ext uri="{FF2B5EF4-FFF2-40B4-BE49-F238E27FC236}">
              <a16:creationId xmlns:a16="http://schemas.microsoft.com/office/drawing/2014/main" id="{E707C38B-C4A8-44C6-AA0A-E48CD5EFF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131005</xdr:colOff>
      <xdr:row>8</xdr:row>
      <xdr:rowOff>164121</xdr:rowOff>
    </xdr:from>
    <xdr:to>
      <xdr:col>11</xdr:col>
      <xdr:colOff>161192</xdr:colOff>
      <xdr:row>10</xdr:row>
      <xdr:rowOff>36633</xdr:rowOff>
    </xdr:to>
    <xdr:sp macro="" textlink="">
      <xdr:nvSpPr>
        <xdr:cNvPr id="7" name="TextBox 6">
          <a:extLst>
            <a:ext uri="{FF2B5EF4-FFF2-40B4-BE49-F238E27FC236}">
              <a16:creationId xmlns:a16="http://schemas.microsoft.com/office/drawing/2014/main" id="{4721995E-91CF-E041-1409-4A4554D309FD}"/>
            </a:ext>
          </a:extLst>
        </xdr:cNvPr>
        <xdr:cNvSpPr txBox="1"/>
      </xdr:nvSpPr>
      <xdr:spPr>
        <a:xfrm>
          <a:off x="5604217" y="1629506"/>
          <a:ext cx="1246456" cy="238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b="0"/>
            <a:t>Patient Attend Status</a:t>
          </a:r>
        </a:p>
      </xdr:txBody>
    </xdr:sp>
    <xdr:clientData/>
  </xdr:twoCellAnchor>
  <xdr:twoCellAnchor>
    <xdr:from>
      <xdr:col>11</xdr:col>
      <xdr:colOff>316837</xdr:colOff>
      <xdr:row>1</xdr:row>
      <xdr:rowOff>31653</xdr:rowOff>
    </xdr:from>
    <xdr:to>
      <xdr:col>13</xdr:col>
      <xdr:colOff>512885</xdr:colOff>
      <xdr:row>8</xdr:row>
      <xdr:rowOff>124558</xdr:rowOff>
    </xdr:to>
    <xdr:graphicFrame macro="">
      <xdr:nvGraphicFramePr>
        <xdr:cNvPr id="8" name="Chart 7">
          <a:extLst>
            <a:ext uri="{FF2B5EF4-FFF2-40B4-BE49-F238E27FC236}">
              <a16:creationId xmlns:a16="http://schemas.microsoft.com/office/drawing/2014/main" id="{1243F7EE-0457-42D9-966A-1ECE584BEA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11</xdr:col>
      <xdr:colOff>431408</xdr:colOff>
      <xdr:row>8</xdr:row>
      <xdr:rowOff>171448</xdr:rowOff>
    </xdr:from>
    <xdr:to>
      <xdr:col>13</xdr:col>
      <xdr:colOff>461595</xdr:colOff>
      <xdr:row>10</xdr:row>
      <xdr:rowOff>43960</xdr:rowOff>
    </xdr:to>
    <xdr:sp macro="" textlink="">
      <xdr:nvSpPr>
        <xdr:cNvPr id="9" name="TextBox 8">
          <a:extLst>
            <a:ext uri="{FF2B5EF4-FFF2-40B4-BE49-F238E27FC236}">
              <a16:creationId xmlns:a16="http://schemas.microsoft.com/office/drawing/2014/main" id="{8CAF9C0E-DB7C-0B41-ECDB-2329F3977AC2}"/>
            </a:ext>
          </a:extLst>
        </xdr:cNvPr>
        <xdr:cNvSpPr txBox="1"/>
      </xdr:nvSpPr>
      <xdr:spPr>
        <a:xfrm>
          <a:off x="7120889" y="1636833"/>
          <a:ext cx="1246456" cy="238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b="0"/>
            <a:t>Gender Wise Analysis</a:t>
          </a:r>
        </a:p>
      </xdr:txBody>
    </xdr:sp>
    <xdr:clientData/>
  </xdr:twoCellAnchor>
  <xdr:twoCellAnchor>
    <xdr:from>
      <xdr:col>8</xdr:col>
      <xdr:colOff>600808</xdr:colOff>
      <xdr:row>10</xdr:row>
      <xdr:rowOff>80596</xdr:rowOff>
    </xdr:from>
    <xdr:to>
      <xdr:col>13</xdr:col>
      <xdr:colOff>498231</xdr:colOff>
      <xdr:row>22</xdr:row>
      <xdr:rowOff>7327</xdr:rowOff>
    </xdr:to>
    <xdr:graphicFrame macro="">
      <xdr:nvGraphicFramePr>
        <xdr:cNvPr id="10" name="Chart 9">
          <a:extLst>
            <a:ext uri="{FF2B5EF4-FFF2-40B4-BE49-F238E27FC236}">
              <a16:creationId xmlns:a16="http://schemas.microsoft.com/office/drawing/2014/main" id="{01ED9B68-F243-4DA8-80BE-62F0BDE70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9</xdr:col>
      <xdr:colOff>453390</xdr:colOff>
      <xdr:row>21</xdr:row>
      <xdr:rowOff>10256</xdr:rowOff>
    </xdr:from>
    <xdr:to>
      <xdr:col>13</xdr:col>
      <xdr:colOff>285750</xdr:colOff>
      <xdr:row>21</xdr:row>
      <xdr:rowOff>175846</xdr:rowOff>
    </xdr:to>
    <xdr:sp macro="" textlink="">
      <xdr:nvSpPr>
        <xdr:cNvPr id="12" name="TextBox 11">
          <a:extLst>
            <a:ext uri="{FF2B5EF4-FFF2-40B4-BE49-F238E27FC236}">
              <a16:creationId xmlns:a16="http://schemas.microsoft.com/office/drawing/2014/main" id="{E7364F0C-10E9-74C4-AB67-FE6D6C9E91AD}"/>
            </a:ext>
          </a:extLst>
        </xdr:cNvPr>
        <xdr:cNvSpPr txBox="1"/>
      </xdr:nvSpPr>
      <xdr:spPr>
        <a:xfrm>
          <a:off x="5926602" y="3856891"/>
          <a:ext cx="2264898" cy="165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b="0"/>
            <a:t>No.</a:t>
          </a:r>
          <a:r>
            <a:rPr lang="en-IN" sz="1050" b="0" baseline="0"/>
            <a:t> of patient by departmental referal</a:t>
          </a:r>
          <a:endParaRPr lang="en-IN" sz="1050" b="0"/>
        </a:p>
      </xdr:txBody>
    </xdr:sp>
    <xdr:clientData/>
  </xdr:twoCellAnchor>
  <xdr:twoCellAnchor editAs="oneCell">
    <xdr:from>
      <xdr:col>7</xdr:col>
      <xdr:colOff>21980</xdr:colOff>
      <xdr:row>1</xdr:row>
      <xdr:rowOff>102578</xdr:rowOff>
    </xdr:from>
    <xdr:to>
      <xdr:col>8</xdr:col>
      <xdr:colOff>490904</xdr:colOff>
      <xdr:row>4</xdr:row>
      <xdr:rowOff>65943</xdr:rowOff>
    </xdr:to>
    <mc:AlternateContent xmlns:mc="http://schemas.openxmlformats.org/markup-compatibility/2006" xmlns:a14="http://schemas.microsoft.com/office/drawing/2010/main">
      <mc:Choice Requires="a14">
        <xdr:graphicFrame macro="">
          <xdr:nvGraphicFramePr>
            <xdr:cNvPr id="5" name="Date (Year)">
              <a:extLst>
                <a:ext uri="{FF2B5EF4-FFF2-40B4-BE49-F238E27FC236}">
                  <a16:creationId xmlns:a16="http://schemas.microsoft.com/office/drawing/2014/main" id="{277EE0CE-A838-4AB2-A4B0-A277008AA36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234960" y="285751"/>
              <a:ext cx="1128348" cy="512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167640</xdr:colOff>
      <xdr:row>1</xdr:row>
      <xdr:rowOff>137160</xdr:rowOff>
    </xdr:from>
    <xdr:to>
      <xdr:col>16</xdr:col>
      <xdr:colOff>434340</xdr:colOff>
      <xdr:row>24</xdr:row>
      <xdr:rowOff>0</xdr:rowOff>
    </xdr:to>
    <xdr:graphicFrame macro="">
      <xdr:nvGraphicFramePr>
        <xdr:cNvPr id="3" name="Chart 2">
          <a:extLst>
            <a:ext uri="{FF2B5EF4-FFF2-40B4-BE49-F238E27FC236}">
              <a16:creationId xmlns:a16="http://schemas.microsoft.com/office/drawing/2014/main" id="{E17A8565-E35C-4AD9-ADDC-97E33E317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0.00507</cdr:x>
      <cdr:y>0.01248</cdr:y>
    </cdr:from>
    <cdr:to>
      <cdr:x>0.06134</cdr:x>
      <cdr:y>0.15106</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337C7B6-060B-BD30-5AA6-D17967CF0C2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563880" cy="56388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175260</xdr:colOff>
      <xdr:row>1</xdr:row>
      <xdr:rowOff>167640</xdr:rowOff>
    </xdr:from>
    <xdr:to>
      <xdr:col>16</xdr:col>
      <xdr:colOff>441960</xdr:colOff>
      <xdr:row>24</xdr:row>
      <xdr:rowOff>0</xdr:rowOff>
    </xdr:to>
    <xdr:graphicFrame macro="">
      <xdr:nvGraphicFramePr>
        <xdr:cNvPr id="2" name="Chart 1">
          <a:extLst>
            <a:ext uri="{FF2B5EF4-FFF2-40B4-BE49-F238E27FC236}">
              <a16:creationId xmlns:a16="http://schemas.microsoft.com/office/drawing/2014/main" id="{D05BE6B0-93E6-4B12-90C5-75660325C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213360</xdr:colOff>
      <xdr:row>1</xdr:row>
      <xdr:rowOff>160020</xdr:rowOff>
    </xdr:from>
    <xdr:to>
      <xdr:col>1</xdr:col>
      <xdr:colOff>167640</xdr:colOff>
      <xdr:row>4</xdr:row>
      <xdr:rowOff>175260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8337C7B6-060B-BD30-5AA6-D17967CF0C2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3360" y="342900"/>
          <a:ext cx="563880" cy="5638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236220</xdr:colOff>
      <xdr:row>2</xdr:row>
      <xdr:rowOff>22860</xdr:rowOff>
    </xdr:from>
    <xdr:to>
      <xdr:col>16</xdr:col>
      <xdr:colOff>419100</xdr:colOff>
      <xdr:row>23</xdr:row>
      <xdr:rowOff>175260</xdr:rowOff>
    </xdr:to>
    <xdr:graphicFrame macro="">
      <xdr:nvGraphicFramePr>
        <xdr:cNvPr id="4" name="Chart 3">
          <a:extLst>
            <a:ext uri="{FF2B5EF4-FFF2-40B4-BE49-F238E27FC236}">
              <a16:creationId xmlns:a16="http://schemas.microsoft.com/office/drawing/2014/main" id="{5B7B413C-98F4-4699-A46E-6140B0EB8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0.01662</cdr:x>
      <cdr:y>0.02417</cdr:y>
    </cdr:from>
    <cdr:to>
      <cdr:x>0.07336</cdr:x>
      <cdr:y>0.16539</cdr:y>
    </cdr:to>
    <cdr:pic>
      <cdr:nvPicPr>
        <cdr:cNvPr id="2"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80AC2DC-A3C0-49C5-B5BB-3CBA31364B3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65100" y="96520"/>
          <a:ext cx="563880" cy="56388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5966.476758333331" createdVersion="5" refreshedVersion="8" minRefreshableVersion="3" recordCount="0" supportSubquery="1" supportAdvancedDrill="1" xr:uid="{BC91D2AF-C982-4ACC-BAB5-7E81264F25C4}">
  <cacheSource type="external" connectionId="3"/>
  <cacheFields count="2">
    <cacheField name="[Calender_Table].[Date (Month)].[Date (Month)]" caption="Date (Month)" numFmtId="0" hierarchy="1" level="1">
      <sharedItems containsSemiMixedTypes="0" containsNonDate="0" containsString="0"/>
    </cacheField>
    <cacheField name="[Measures].[Distinct Count of Patient Id]" caption="Distinct Count of Patient Id" numFmtId="0" hierarchy="24" level="32767"/>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Id]" caption="Sum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5966.476758333331" createdVersion="5" refreshedVersion="8" minRefreshableVersion="3" recordCount="0" supportSubquery="1" supportAdvancedDrill="1" xr:uid="{8F13639A-6383-4585-BF15-98F4E80FACD8}">
  <cacheSource type="external" connectionId="3"/>
  <cacheFields count="2">
    <cacheField name="[Measures].[Average of Patient Waittime]" caption="Average of Patient Waittime" numFmtId="0" hierarchy="27" level="32767"/>
    <cacheField name="[Calender_Table].[Date (Month)].[Date (Month)]" caption="Date (Month)" numFmtId="0" hierarchy="1"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Id]" caption="Sum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5966.476758564815" createdVersion="5" refreshedVersion="8" minRefreshableVersion="3" recordCount="0" supportSubquery="1" supportAdvancedDrill="1" xr:uid="{379CBF43-1305-4144-9001-04B871D30A7B}">
  <cacheSource type="external" connectionId="3"/>
  <cacheFields count="2">
    <cacheField name="[Measures].[Average of Patient Satisfaction Score]" caption="Average of Patient Satisfaction Score" numFmtId="0" hierarchy="29" level="32767"/>
    <cacheField name="[Calender_Table].[Date (Month)].[Date (Month)]" caption="Date (Month)" numFmtId="0" hierarchy="1"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Id]" caption="Sum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5966.476758912038" createdVersion="5" refreshedVersion="8" minRefreshableVersion="3" recordCount="0" supportSubquery="1" supportAdvancedDrill="1" xr:uid="{2ED7A6CF-64B9-413D-AC87-B9AD4CE5A209}">
  <cacheSource type="external" connectionId="3"/>
  <cacheFields count="3">
    <cacheField name="[Measures].[Distinct Count of Patient Id]" caption="Distinct Count of Patient Id" numFmtId="0" hierarchy="24" level="32767"/>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Id]" caption="Sum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5966.476759375" createdVersion="5" refreshedVersion="8" minRefreshableVersion="3" recordCount="0" supportSubquery="1" supportAdvancedDrill="1" xr:uid="{875C125D-E04B-4C5C-9CE4-F2F77B381E7A}">
  <cacheSource type="external" connectionId="3"/>
  <cacheFields count="3">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Id]" caption="Sum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5966.476760069447" createdVersion="5" refreshedVersion="8" minRefreshableVersion="3" recordCount="0" supportSubquery="1" supportAdvancedDrill="1" xr:uid="{2291374F-208C-4DA9-9E3A-180565200294}">
  <cacheSource type="external" connectionId="3"/>
  <cacheFields count="4">
    <cacheField name="[Calende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Hospital Emergency Room Data].[Patient Admission Time].[Patient Admission Time]" caption="Patient Admission Time" numFmtId="0" hierarchy="7"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fieldsUsage count="2">
        <fieldUsage x="-1"/>
        <fieldUsage x="3"/>
      </fieldsUsage>
    </cacheHierarchy>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Id]" caption="Sum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5966.476760648147" createdVersion="5" refreshedVersion="8" minRefreshableVersion="3" recordCount="0" supportSubquery="1" supportAdvancedDrill="1" xr:uid="{EC9B1EAE-DCD5-466D-BCBE-F3F2FE80B522}">
  <cacheSource type="external" connectionId="3"/>
  <cacheFields count="4">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Dummy0" numFmtId="0" hierarchy="36" level="32767">
      <extLst>
        <ext xmlns:x14="http://schemas.microsoft.com/office/spreadsheetml/2009/9/main" uri="{63CAB8AC-B538-458d-9737-405883B0398D}">
          <x14:cacheField ignore="1"/>
        </ext>
      </extLst>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Id]" caption="Sum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5966.476760995371" createdVersion="5" refreshedVersion="8" minRefreshableVersion="3" recordCount="0" supportSubquery="1" supportAdvancedDrill="1" xr:uid="{D7833E4A-5F1E-468B-AA9D-1FB47F8B531D}">
  <cacheSource type="external" connectionId="3"/>
  <cacheFields count="3">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Id]" caption="Sum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5966.476761342594" createdVersion="5" refreshedVersion="8" minRefreshableVersion="3" recordCount="0" supportSubquery="1" supportAdvancedDrill="1" xr:uid="{CD64D84F-C7C2-4D9A-BDC5-9494A8F20E19}">
  <cacheSource type="external" connectionId="3"/>
  <cacheFields count="3">
    <cacheField name="[Calende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Calculated Column 1].[Calculated Column 1]" caption="Calculated Column 1" numFmtId="0" hierarchy="17" level="1">
      <sharedItems count="2">
        <s v="Delay"/>
        <s v="Ontime"/>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Id]" caption="Sum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5966.476761805556" createdVersion="5" refreshedVersion="8" minRefreshableVersion="3" recordCount="0" supportSubquery="1" supportAdvancedDrill="1" xr:uid="{6386DA84-30BF-468D-A313-A553B825CAD4}">
  <cacheSource type="external" connectionId="3"/>
  <cacheFields count="3">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Id]" caption="Sum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5966.476762268518" createdVersion="5" refreshedVersion="8" minRefreshableVersion="3" recordCount="0" supportSubquery="1" supportAdvancedDrill="1" xr:uid="{437054A7-C737-4F6A-B29A-6D1BBCAA03E4}">
  <cacheSource type="external" connectionId="3"/>
  <cacheFields count="3">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0"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Id]" caption="Sum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5966.476762847225" createdVersion="5" refreshedVersion="8" minRefreshableVersion="3" recordCount="0" supportSubquery="1" supportAdvancedDrill="1" xr:uid="{DB7B1E1A-B3C5-463A-A065-B97E0F3B977F}">
  <cacheSource type="external" connectionId="3"/>
  <cacheFields count="4">
    <cacheField name="[Calender_Table].[Date (Month)].[Date (Month)]" caption="Date (Month)" numFmtId="0" hierarchy="1" level="1">
      <sharedItems count="1">
        <s v="Feb"/>
      </sharedItems>
    </cacheField>
    <cacheField name="[Calender_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3"/>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Id]" caption="Sum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CTUS" refreshedDate="45966.357871180553" createdVersion="3" refreshedVersion="8" minRefreshableVersion="3" recordCount="0" supportSubquery="1" supportAdvancedDrill="1" xr:uid="{F234140D-276E-4E94-90C1-1281F6FC3099}">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2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Min of Patient Waittime]" caption="Min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Id]" caption="Sum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453627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67B4AF-73CA-42E2-9981-8AC9FC40B59C}" name="PivotTable10" cacheId="9" applyNumberFormats="0" applyBorderFormats="0" applyFontFormats="0" applyPatternFormats="0" applyAlignmentFormats="0" applyWidthHeightFormats="1" dataCaption="Values" tag="5512e554-8d1f-464c-9b60-71b83b249be5" updatedVersion="8" minRefreshableVersion="3" subtotalHiddenItems="1" itemPrintTitles="1" createdVersion="5" indent="0" outline="1" outlineData="1" multipleFieldFilters="0" chartFormat="15">
  <location ref="R17:S20"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formats count="1">
    <format dxfId="0">
      <pivotArea outline="0" collapsedLevelsAreSubtotals="1" fieldPosition="0"/>
    </format>
  </formats>
  <chartFormats count="4">
    <chartFormat chart="11"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9D4247-FD84-4718-B5E6-A8CBB2F8ABEE}" name="PivotTable4" cacheId="3" applyNumberFormats="0" applyBorderFormats="0" applyFontFormats="0" applyPatternFormats="0" applyAlignmentFormats="0" applyWidthHeightFormats="1" dataCaption="Values" tag="3dcb2898-7249-4caa-b0cb-66dec9b3d4e9" updatedVersion="8" minRefreshableVersion="3" subtotalHiddenItems="1" itemPrintTitles="1" createdVersion="5" indent="0" outline="1" outlineData="1" multipleFieldFilters="0" chartFormat="9">
  <location ref="E3:F34" firstHeaderRow="1" firstDataRow="1" firstDataCol="1"/>
  <pivotFields count="3">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AB36B6-2D16-45BE-8B0D-30858B27B2BD}" name="PivotTable3" cacheId="2" applyNumberFormats="0" applyBorderFormats="0" applyFontFormats="0" applyPatternFormats="0" applyAlignmentFormats="0" applyWidthHeightFormats="1" dataCaption="Values" tag="df1e6a58-78b3-4eba-a1b7-73f619f19a52" updatedVersion="8" minRefreshableVersion="3" subtotalHiddenItems="1" itemPrintTitles="1" createdVersion="5" indent="0" outline="1" outlineData="1" multipleFieldFilters="0" chartFormat="2">
  <location ref="B13:B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
      <pivotArea outline="0" collapsedLevelsAreSubtotals="1" fieldPosition="0"/>
    </format>
  </formats>
  <pivotHierarchies count="36">
    <pivotHierarchy dragToData="1"/>
    <pivotHierarchy multipleItemSelectionAllowed="1" dragToData="1">
      <members count="1" level="1">
        <member name="[Calende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0F403E-7EA2-4B26-A870-8813690E8D46}" name="PivotTable8" cacheId="7" applyNumberFormats="0" applyBorderFormats="0" applyFontFormats="0" applyPatternFormats="0" applyAlignmentFormats="0" applyWidthHeightFormats="1" dataCaption="Values" tag="aa47218b-4d74-43e6-9ef6-d7491d8462cc" updatedVersion="8" minRefreshableVersion="3" subtotalHiddenItems="1" itemPrintTitles="1" createdVersion="5" indent="0" outline="1" outlineData="1" multipleFieldFilters="0" chartFormat="11">
  <location ref="O10:P19"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2">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0C17D8-5759-4E80-974D-D45F9BF8027A}" name="PivotTable11" cacheId="10" applyNumberFormats="0" applyBorderFormats="0" applyFontFormats="0" applyPatternFormats="0" applyAlignmentFormats="0" applyWidthHeightFormats="1" dataCaption="Values" tag="189da1be-0a63-48e7-b8bc-ce1fe617955a" updatedVersion="8" minRefreshableVersion="3" subtotalHiddenItems="1" itemPrintTitles="1" createdVersion="5" indent="0" outline="1" outlineData="1" multipleFieldFilters="0" chartFormat="18">
  <location ref="R24:S33"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7"/>
    </i>
    <i>
      <x v="1"/>
    </i>
    <i>
      <x v="3"/>
    </i>
    <i>
      <x v="6"/>
    </i>
    <i>
      <x/>
    </i>
    <i>
      <x v="5"/>
    </i>
    <i>
      <x v="2"/>
    </i>
    <i>
      <x v="4"/>
    </i>
    <i t="grand">
      <x/>
    </i>
  </rowItems>
  <colItems count="1">
    <i/>
  </colItems>
  <dataFields count="1">
    <dataField name="Count of Department Referral" fld="2" subtotal="count" baseField="0" baseItem="0"/>
  </dataFields>
  <formats count="1">
    <format dxfId="3">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380562-DCD3-4958-AF49-278A871ABBC4}" name="PivotTable5" cacheId="4" applyNumberFormats="0" applyBorderFormats="0" applyFontFormats="0" applyPatternFormats="0" applyAlignmentFormats="0" applyWidthHeightFormats="1" dataCaption="Values" tag="f2d851dc-636c-4185-b591-e20992033b99" updatedVersion="8" minRefreshableVersion="3" subtotalHiddenItems="1" itemPrintTitles="1" createdVersion="5" indent="0" outline="1" outlineData="1" multipleFieldFilters="0" chartFormat="11">
  <location ref="I3:J34"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4">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DBBF8F-79C5-457B-8563-DA8A820559D8}" name="PivotTable7" cacheId="6" applyNumberFormats="0" applyBorderFormats="0" applyFontFormats="0" applyPatternFormats="0" applyAlignmentFormats="0" applyWidthHeightFormats="1" dataCaption="Values" tag="1cfbd8eb-a85c-4760-9298-2518e135c1c1" updatedVersion="8" minRefreshableVersion="3" subtotalHiddenItems="1" itemPrintTitles="1" createdVersion="5" indent="0" outline="1" outlineData="1" multipleFieldFilters="0" chartFormat="3">
  <location ref="O3:Q6" firstHeaderRow="0"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7">
      <pivotArea outline="0" collapsedLevelsAreSubtotals="1" fieldPosition="0"/>
    </format>
    <format dxfId="6">
      <pivotArea collapsedLevelsAreSubtotals="1" fieldPosition="0">
        <references count="1">
          <reference field="2" count="0"/>
        </references>
      </pivotArea>
    </format>
    <format dxfId="5">
      <pivotArea outline="0" fieldPosition="0">
        <references count="1">
          <reference field="4294967294" count="1">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e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4AB679-7C2F-436A-BC01-E73FF181F63C}" name="PivotTable1" cacheId="0" applyNumberFormats="0" applyBorderFormats="0" applyFontFormats="0" applyPatternFormats="0" applyAlignmentFormats="0" applyWidthHeightFormats="1" dataCaption="Values" tag="33873b12-c742-465e-8e2a-40bcf546ddb8" updatedVersion="8" minRefreshableVersion="3" subtotalHiddenItems="1" itemPrintTitles="1" createdVersion="5" indent="0" outline="1" outlineData="1" multipleFieldFilters="0" chartFormat="2">
  <location ref="B3:B4"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Distinct Count of Patient Id" fld="1"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5E2140-5C25-408A-8543-8FE484B642D5}" name="PivotTable6" cacheId="5" applyNumberFormats="0" applyBorderFormats="0" applyFontFormats="0" applyPatternFormats="0" applyAlignmentFormats="0" applyWidthHeightFormats="1" dataCaption="Values" tag="f58c0e71-d25f-4dd4-833c-389d7910ea9e" updatedVersion="8" minRefreshableVersion="5" subtotalHiddenItems="1" itemPrintTitles="1" createdVersion="5" indent="0" outline="1" outlineData="1" multipleFieldFilters="0" chartFormat="17">
  <location ref="L4:M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2"/>
  </dataFields>
  <formats count="1">
    <format dxfId="8">
      <pivotArea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1" name="[Hospital Emergency Room Data].[Patient Admission 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90CB38-7C0A-4334-97A4-B11DE9F52920}" name="PivotTable9" cacheId="8" applyNumberFormats="0" applyBorderFormats="0" applyFontFormats="0" applyPatternFormats="0" applyAlignmentFormats="0" applyWidthHeightFormats="1" dataCaption="Values" tag="27f05ddd-68f0-4d56-a822-b95cc561654c" updatedVersion="8" minRefreshableVersion="3" subtotalHiddenItems="1" itemPrintTitles="1" createdVersion="5" indent="0" outline="1" outlineData="1" multipleFieldFilters="0" chartFormat="11">
  <location ref="R10:S13"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Patient Id" fld="1" subtotal="count" baseField="0" baseItem="0" numFmtId="1"/>
  </dataFields>
  <formats count="1">
    <format dxfId="9">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 count="1" selected="0">
            <x v="0"/>
          </reference>
        </references>
      </pivotArea>
    </chartFormat>
    <chartFormat chart="10" format="6">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8BEC8B1-2DB2-4F95-A4B9-6F72FE8A137E}" name="PivotTable2" cacheId="1" applyNumberFormats="0" applyBorderFormats="0" applyFontFormats="0" applyPatternFormats="0" applyAlignmentFormats="0" applyWidthHeightFormats="1" dataCaption="Values" tag="456d0896-fc00-4517-ac00-cce9deada2ed" updatedVersion="8" minRefreshableVersion="3" subtotalHiddenItems="1" itemPrintTitles="1" createdVersion="5" indent="0" outline="1" outlineData="1" multipleFieldFilters="0" chartFormat="4">
  <location ref="B8:B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0">
      <pivotArea outline="0" collapsedLevelsAreSubtotals="1" fieldPosition="0"/>
    </format>
  </formats>
  <pivotHierarchies count="36">
    <pivotHierarchy dragToData="1"/>
    <pivotHierarchy multipleItemSelectionAllowed="1" dragToData="1">
      <members count="1" level="1">
        <member name="[Calende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Min of Patient Waittime"/>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250C746-455D-44E6-AA98-34EF871D311C}" name="PivotTable12" cacheId="11" applyNumberFormats="0" applyBorderFormats="0" applyFontFormats="0" applyPatternFormats="0" applyAlignmentFormats="0" applyWidthHeightFormats="1" dataCaption="Values" tag="5512e554-8d1f-464c-9b60-71b83b249be5" updatedVersion="8" minRefreshableVersion="3" subtotalHiddenItems="1" itemPrintTitles="1" createdVersion="5" indent="0" outline="1" outlineData="1" multipleFieldFilters="0" chartFormat="15">
  <location ref="O23:O2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1">
      <pivotArea outline="0" collapsedLevelsAreSubtotals="1" fieldPosition="0"/>
    </format>
  </formats>
  <pivotHierarchies count="36">
    <pivotHierarchy dragToData="1"/>
    <pivotHierarchy multipleItemSelectionAllowed="1" dragToData="1">
      <members count="1" level="1">
        <member name="[Calende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caption="Min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38378D1-F612-4782-A641-928223EC8616}" sourceName="[Calender_Table].[Date (Month)]">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845362791">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1A22C7E-8D80-40F5-8FEB-F15493B5109C}" sourceName="[Calender_Table].[Date (Year)]">
  <pivotTables>
    <pivotTable tabId="1" name="PivotTable12"/>
  </pivotTables>
  <data>
    <olap pivotCacheId="845362791">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4BC1904-2D51-4233-8572-4BD10F29C465}" cache="Slicer_Date__Month" caption="Date (Month)" showCaption="0" level="1" style="mystyle1 2 2 2 2 2" rowHeight="216000"/>
  <slicer name="Date (Year)" xr10:uid="{D818E48D-B95C-4612-9AB2-ACB3BEDAC6DF}" cache="Slicer_Date__Year" caption="Date (Year)" columnCount="2" showCaption="0" level="1" style="mystyle1 2 2 2 2 2"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2C456-34E0-4E6F-A7A7-F51DDD10A3EB}">
  <dimension ref="B2:AA35"/>
  <sheetViews>
    <sheetView topLeftCell="O1" workbookViewId="0">
      <selection activeCell="S3" sqref="S3:Y3"/>
    </sheetView>
  </sheetViews>
  <sheetFormatPr defaultRowHeight="14.4" x14ac:dyDescent="0.3"/>
  <cols>
    <col min="2" max="2" width="23.88671875" bestFit="1" customWidth="1"/>
    <col min="5" max="5" width="12.5546875" bestFit="1" customWidth="1"/>
    <col min="6" max="6" width="23.88671875" bestFit="1" customWidth="1"/>
    <col min="10" max="10" width="25" bestFit="1" customWidth="1"/>
    <col min="13" max="13" width="32.44140625" bestFit="1" customWidth="1"/>
    <col min="15" max="15" width="13.109375" customWidth="1"/>
    <col min="16" max="16" width="28.109375" bestFit="1" customWidth="1"/>
    <col min="17" max="17" width="14.33203125" customWidth="1"/>
    <col min="19" max="19" width="16.77734375" customWidth="1"/>
    <col min="20" max="20" width="15.21875" customWidth="1"/>
    <col min="21" max="21" width="8.77734375" customWidth="1"/>
  </cols>
  <sheetData>
    <row r="2" spans="2:27" x14ac:dyDescent="0.3">
      <c r="B2" t="s">
        <v>3</v>
      </c>
      <c r="E2" t="s">
        <v>8</v>
      </c>
      <c r="I2" t="s">
        <v>9</v>
      </c>
      <c r="L2" t="s">
        <v>10</v>
      </c>
    </row>
    <row r="3" spans="2:27" x14ac:dyDescent="0.3">
      <c r="B3" t="s">
        <v>2</v>
      </c>
      <c r="E3" s="1" t="s">
        <v>0</v>
      </c>
      <c r="F3" t="s">
        <v>2</v>
      </c>
      <c r="I3" s="1" t="s">
        <v>0</v>
      </c>
      <c r="J3" t="s">
        <v>4</v>
      </c>
      <c r="O3" s="1" t="s">
        <v>0</v>
      </c>
      <c r="P3" t="s">
        <v>11</v>
      </c>
      <c r="Q3" t="s">
        <v>14</v>
      </c>
      <c r="S3" s="15" t="s">
        <v>15</v>
      </c>
      <c r="T3" s="15" t="s">
        <v>16</v>
      </c>
      <c r="U3" s="15" t="s">
        <v>17</v>
      </c>
      <c r="V3" s="18" t="s">
        <v>18</v>
      </c>
      <c r="W3" s="18"/>
      <c r="X3" s="18"/>
      <c r="Y3" s="16"/>
    </row>
    <row r="4" spans="2:27" x14ac:dyDescent="0.3">
      <c r="B4" s="3">
        <v>948</v>
      </c>
      <c r="E4" s="2" t="s">
        <v>48</v>
      </c>
      <c r="F4" s="3">
        <v>31</v>
      </c>
      <c r="I4" s="2" t="s">
        <v>48</v>
      </c>
      <c r="J4" s="4">
        <v>37.12903225806452</v>
      </c>
      <c r="L4" s="1" t="s">
        <v>0</v>
      </c>
      <c r="M4" t="s">
        <v>6</v>
      </c>
      <c r="O4" s="2" t="s">
        <v>12</v>
      </c>
      <c r="P4" s="9">
        <v>454</v>
      </c>
      <c r="Q4" s="10">
        <v>0.47890295358649787</v>
      </c>
      <c r="S4" s="13" t="str">
        <f>O5</f>
        <v>Not Admitted</v>
      </c>
      <c r="T4" s="13">
        <f t="shared" ref="T4:U4" si="0">P5</f>
        <v>494</v>
      </c>
      <c r="U4" s="14">
        <f t="shared" si="0"/>
        <v>0.52109704641350207</v>
      </c>
      <c r="V4" s="11"/>
      <c r="W4" s="11"/>
      <c r="X4" s="11"/>
      <c r="Y4" s="11"/>
    </row>
    <row r="5" spans="2:27" x14ac:dyDescent="0.3">
      <c r="E5" s="2" t="s">
        <v>49</v>
      </c>
      <c r="F5" s="3">
        <v>32</v>
      </c>
      <c r="I5" s="2" t="s">
        <v>49</v>
      </c>
      <c r="J5" s="4">
        <v>35.34375</v>
      </c>
      <c r="L5" s="2" t="s">
        <v>48</v>
      </c>
      <c r="M5" s="4">
        <v>3.8</v>
      </c>
      <c r="O5" s="2" t="s">
        <v>13</v>
      </c>
      <c r="P5" s="9">
        <v>494</v>
      </c>
      <c r="Q5" s="10">
        <v>0.52109704641350207</v>
      </c>
      <c r="S5" s="13" t="str">
        <f>O4</f>
        <v>Admitted</v>
      </c>
      <c r="T5" s="13">
        <f t="shared" ref="T5:U5" si="1">P4</f>
        <v>454</v>
      </c>
      <c r="U5" s="14">
        <f t="shared" si="1"/>
        <v>0.47890295358649787</v>
      </c>
      <c r="V5" s="11"/>
      <c r="W5" s="11"/>
      <c r="X5" s="11"/>
      <c r="Y5" s="11"/>
    </row>
    <row r="6" spans="2:27" x14ac:dyDescent="0.3">
      <c r="E6" s="2" t="s">
        <v>50</v>
      </c>
      <c r="F6" s="3">
        <v>31</v>
      </c>
      <c r="I6" s="2" t="s">
        <v>50</v>
      </c>
      <c r="J6" s="4">
        <v>33.064516129032256</v>
      </c>
      <c r="L6" s="2" t="s">
        <v>49</v>
      </c>
      <c r="M6" s="4">
        <v>6</v>
      </c>
      <c r="O6" s="2" t="s">
        <v>1</v>
      </c>
      <c r="P6" s="4">
        <v>948</v>
      </c>
      <c r="Q6" s="10">
        <v>1</v>
      </c>
    </row>
    <row r="7" spans="2:27" x14ac:dyDescent="0.3">
      <c r="B7" t="s">
        <v>5</v>
      </c>
      <c r="E7" s="2" t="s">
        <v>51</v>
      </c>
      <c r="F7" s="3">
        <v>29</v>
      </c>
      <c r="I7" s="2" t="s">
        <v>51</v>
      </c>
      <c r="J7" s="4">
        <v>33.482758620689658</v>
      </c>
      <c r="L7" s="2" t="s">
        <v>50</v>
      </c>
      <c r="M7" s="4">
        <v>4.5999999999999996</v>
      </c>
    </row>
    <row r="8" spans="2:27" x14ac:dyDescent="0.3">
      <c r="B8" t="s">
        <v>4</v>
      </c>
      <c r="E8" s="2" t="s">
        <v>52</v>
      </c>
      <c r="F8" s="3">
        <v>34</v>
      </c>
      <c r="I8" s="2" t="s">
        <v>52</v>
      </c>
      <c r="J8" s="4">
        <v>34</v>
      </c>
      <c r="L8" s="2" t="s">
        <v>51</v>
      </c>
      <c r="M8" s="4">
        <v>5.7142857142857144</v>
      </c>
    </row>
    <row r="9" spans="2:27" x14ac:dyDescent="0.3">
      <c r="B9" s="4">
        <v>34.972573839662445</v>
      </c>
      <c r="E9" s="2" t="s">
        <v>53</v>
      </c>
      <c r="F9" s="3">
        <v>31</v>
      </c>
      <c r="I9" s="2" t="s">
        <v>53</v>
      </c>
      <c r="J9" s="4">
        <v>34.354838709677416</v>
      </c>
      <c r="L9" s="2" t="s">
        <v>52</v>
      </c>
      <c r="M9" s="4">
        <v>4.666666666666667</v>
      </c>
      <c r="O9" s="2" t="s">
        <v>28</v>
      </c>
      <c r="R9" t="s">
        <v>35</v>
      </c>
      <c r="U9" s="12"/>
      <c r="V9" s="12"/>
      <c r="W9" s="12"/>
      <c r="X9" s="12"/>
      <c r="Y9" s="12"/>
      <c r="Z9" s="12"/>
      <c r="AA9" s="12"/>
    </row>
    <row r="10" spans="2:27" x14ac:dyDescent="0.3">
      <c r="E10" s="2" t="s">
        <v>54</v>
      </c>
      <c r="F10" s="3">
        <v>27</v>
      </c>
      <c r="I10" s="2" t="s">
        <v>54</v>
      </c>
      <c r="J10" s="4">
        <v>32.666666666666664</v>
      </c>
      <c r="L10" s="2" t="s">
        <v>53</v>
      </c>
      <c r="M10" s="4">
        <v>3.4</v>
      </c>
      <c r="O10" s="1" t="s">
        <v>0</v>
      </c>
      <c r="P10" t="s">
        <v>27</v>
      </c>
      <c r="R10" s="1" t="s">
        <v>0</v>
      </c>
      <c r="S10" t="s">
        <v>29</v>
      </c>
      <c r="U10" s="12"/>
      <c r="V10" s="12"/>
      <c r="W10" s="12"/>
      <c r="X10" s="12"/>
      <c r="Y10" s="12"/>
      <c r="Z10" s="12"/>
      <c r="AA10" s="12"/>
    </row>
    <row r="11" spans="2:27" x14ac:dyDescent="0.3">
      <c r="E11" s="2" t="s">
        <v>55</v>
      </c>
      <c r="F11" s="3">
        <v>32</v>
      </c>
      <c r="I11" s="2" t="s">
        <v>55</v>
      </c>
      <c r="J11" s="4">
        <v>30.3125</v>
      </c>
      <c r="L11" s="2" t="s">
        <v>54</v>
      </c>
      <c r="M11" s="4">
        <v>5</v>
      </c>
      <c r="O11" s="2" t="s">
        <v>19</v>
      </c>
      <c r="P11" s="4">
        <v>129</v>
      </c>
      <c r="R11" s="2" t="s">
        <v>30</v>
      </c>
      <c r="S11" s="9">
        <v>541</v>
      </c>
      <c r="U11" s="12"/>
      <c r="V11" s="12"/>
      <c r="W11" s="12"/>
      <c r="X11" s="12"/>
      <c r="Y11" s="12"/>
      <c r="Z11" s="12"/>
      <c r="AA11" s="12"/>
    </row>
    <row r="12" spans="2:27" x14ac:dyDescent="0.3">
      <c r="B12" t="s">
        <v>7</v>
      </c>
      <c r="E12" s="2" t="s">
        <v>56</v>
      </c>
      <c r="F12" s="3">
        <v>27</v>
      </c>
      <c r="I12" s="2" t="s">
        <v>56</v>
      </c>
      <c r="J12" s="4">
        <v>33.925925925925924</v>
      </c>
      <c r="L12" s="2" t="s">
        <v>55</v>
      </c>
      <c r="M12" s="4">
        <v>5.8571428571428568</v>
      </c>
      <c r="O12" s="2" t="s">
        <v>20</v>
      </c>
      <c r="P12" s="4">
        <v>124</v>
      </c>
      <c r="R12" s="2" t="s">
        <v>31</v>
      </c>
      <c r="S12" s="9">
        <v>407</v>
      </c>
      <c r="U12" s="11"/>
      <c r="V12" s="11"/>
      <c r="W12" s="11"/>
      <c r="X12" s="11"/>
      <c r="Y12" s="11"/>
      <c r="Z12" s="11"/>
      <c r="AA12" s="11"/>
    </row>
    <row r="13" spans="2:27" x14ac:dyDescent="0.3">
      <c r="B13" t="s">
        <v>6</v>
      </c>
      <c r="E13" s="2" t="s">
        <v>57</v>
      </c>
      <c r="F13" s="3">
        <v>27</v>
      </c>
      <c r="I13" s="2" t="s">
        <v>57</v>
      </c>
      <c r="J13" s="4">
        <v>32.037037037037038</v>
      </c>
      <c r="L13" s="2" t="s">
        <v>56</v>
      </c>
      <c r="M13" s="4">
        <v>4.8888888888888893</v>
      </c>
      <c r="O13" s="2" t="s">
        <v>21</v>
      </c>
      <c r="P13" s="4">
        <v>133</v>
      </c>
      <c r="R13" s="2" t="s">
        <v>1</v>
      </c>
      <c r="S13" s="9">
        <v>948</v>
      </c>
    </row>
    <row r="14" spans="2:27" x14ac:dyDescent="0.3">
      <c r="B14" s="4">
        <v>4.9889298892988929</v>
      </c>
      <c r="E14" s="2" t="s">
        <v>58</v>
      </c>
      <c r="F14" s="3">
        <v>33</v>
      </c>
      <c r="I14" s="2" t="s">
        <v>58</v>
      </c>
      <c r="J14" s="4">
        <v>38.606060606060609</v>
      </c>
      <c r="L14" s="2" t="s">
        <v>57</v>
      </c>
      <c r="M14" s="4">
        <v>6</v>
      </c>
      <c r="O14" s="2" t="s">
        <v>22</v>
      </c>
      <c r="P14" s="4">
        <v>122</v>
      </c>
    </row>
    <row r="15" spans="2:27" x14ac:dyDescent="0.3">
      <c r="E15" s="2" t="s">
        <v>59</v>
      </c>
      <c r="F15" s="3">
        <v>42</v>
      </c>
      <c r="I15" s="2" t="s">
        <v>59</v>
      </c>
      <c r="J15" s="4">
        <v>36.761904761904759</v>
      </c>
      <c r="L15" s="2" t="s">
        <v>58</v>
      </c>
      <c r="M15" s="4">
        <v>4.7142857142857144</v>
      </c>
      <c r="O15" s="2" t="s">
        <v>23</v>
      </c>
      <c r="P15" s="4">
        <v>96</v>
      </c>
    </row>
    <row r="16" spans="2:27" x14ac:dyDescent="0.3">
      <c r="E16" s="2" t="s">
        <v>60</v>
      </c>
      <c r="F16" s="3">
        <v>25</v>
      </c>
      <c r="I16" s="2" t="s">
        <v>60</v>
      </c>
      <c r="J16" s="4">
        <v>28.52</v>
      </c>
      <c r="L16" s="2" t="s">
        <v>59</v>
      </c>
      <c r="M16" s="4">
        <v>7.1428571428571432</v>
      </c>
      <c r="O16" s="2" t="s">
        <v>24</v>
      </c>
      <c r="P16" s="4">
        <v>110</v>
      </c>
      <c r="R16" s="2" t="s">
        <v>36</v>
      </c>
    </row>
    <row r="17" spans="5:19" x14ac:dyDescent="0.3">
      <c r="E17" s="2" t="s">
        <v>61</v>
      </c>
      <c r="F17" s="3">
        <v>34</v>
      </c>
      <c r="I17" s="2" t="s">
        <v>61</v>
      </c>
      <c r="J17" s="4">
        <v>33.882352941176471</v>
      </c>
      <c r="L17" s="2" t="s">
        <v>60</v>
      </c>
      <c r="M17" s="4">
        <v>4.333333333333333</v>
      </c>
      <c r="O17" s="2" t="s">
        <v>25</v>
      </c>
      <c r="P17" s="4">
        <v>125</v>
      </c>
      <c r="R17" s="1" t="s">
        <v>0</v>
      </c>
      <c r="S17" t="s">
        <v>34</v>
      </c>
    </row>
    <row r="18" spans="5:19" x14ac:dyDescent="0.3">
      <c r="E18" s="2" t="s">
        <v>62</v>
      </c>
      <c r="F18" s="3">
        <v>32</v>
      </c>
      <c r="I18" s="2" t="s">
        <v>62</v>
      </c>
      <c r="J18" s="4">
        <v>39.625</v>
      </c>
      <c r="L18" s="2" t="s">
        <v>61</v>
      </c>
      <c r="M18" s="4">
        <v>6.7333333333333334</v>
      </c>
      <c r="O18" s="2" t="s">
        <v>26</v>
      </c>
      <c r="P18" s="4">
        <v>109</v>
      </c>
      <c r="R18" s="2" t="s">
        <v>32</v>
      </c>
      <c r="S18" s="9">
        <v>476</v>
      </c>
    </row>
    <row r="19" spans="5:19" x14ac:dyDescent="0.3">
      <c r="E19" s="2" t="s">
        <v>63</v>
      </c>
      <c r="F19" s="3">
        <v>34</v>
      </c>
      <c r="I19" s="2" t="s">
        <v>63</v>
      </c>
      <c r="J19" s="4">
        <v>31.823529411764707</v>
      </c>
      <c r="L19" s="2" t="s">
        <v>62</v>
      </c>
      <c r="M19" s="4">
        <v>5.2857142857142856</v>
      </c>
      <c r="O19" s="2" t="s">
        <v>1</v>
      </c>
      <c r="P19" s="4">
        <v>948</v>
      </c>
      <c r="R19" s="2" t="s">
        <v>33</v>
      </c>
      <c r="S19" s="9">
        <v>472</v>
      </c>
    </row>
    <row r="20" spans="5:19" x14ac:dyDescent="0.3">
      <c r="E20" s="2" t="s">
        <v>64</v>
      </c>
      <c r="F20" s="3">
        <v>26</v>
      </c>
      <c r="I20" s="2" t="s">
        <v>64</v>
      </c>
      <c r="J20" s="4">
        <v>37.769230769230766</v>
      </c>
      <c r="L20" s="2" t="s">
        <v>63</v>
      </c>
      <c r="M20" s="4">
        <v>4.916666666666667</v>
      </c>
      <c r="R20" s="2" t="s">
        <v>1</v>
      </c>
      <c r="S20" s="9">
        <v>948</v>
      </c>
    </row>
    <row r="21" spans="5:19" x14ac:dyDescent="0.3">
      <c r="E21" s="2" t="s">
        <v>65</v>
      </c>
      <c r="F21" s="3">
        <v>36</v>
      </c>
      <c r="I21" s="2" t="s">
        <v>65</v>
      </c>
      <c r="J21" s="4">
        <v>38.055555555555557</v>
      </c>
      <c r="L21" s="2" t="s">
        <v>64</v>
      </c>
      <c r="M21" s="4">
        <v>4.333333333333333</v>
      </c>
    </row>
    <row r="22" spans="5:19" x14ac:dyDescent="0.3">
      <c r="E22" s="2" t="s">
        <v>66</v>
      </c>
      <c r="F22" s="3">
        <v>31</v>
      </c>
      <c r="I22" s="2" t="s">
        <v>66</v>
      </c>
      <c r="J22" s="4">
        <v>30.129032258064516</v>
      </c>
      <c r="L22" s="2" t="s">
        <v>65</v>
      </c>
      <c r="M22" s="4">
        <v>5.333333333333333</v>
      </c>
    </row>
    <row r="23" spans="5:19" x14ac:dyDescent="0.3">
      <c r="E23" s="2" t="s">
        <v>67</v>
      </c>
      <c r="F23" s="3">
        <v>32</v>
      </c>
      <c r="I23" s="2" t="s">
        <v>67</v>
      </c>
      <c r="J23" s="4">
        <v>35.03125</v>
      </c>
      <c r="L23" s="2" t="s">
        <v>66</v>
      </c>
      <c r="M23" s="4">
        <v>4.3636363636363633</v>
      </c>
      <c r="O23" s="1" t="s">
        <v>0</v>
      </c>
      <c r="R23" s="2" t="s">
        <v>46</v>
      </c>
    </row>
    <row r="24" spans="5:19" x14ac:dyDescent="0.3">
      <c r="E24" s="2" t="s">
        <v>68</v>
      </c>
      <c r="F24" s="3">
        <v>33</v>
      </c>
      <c r="I24" s="2" t="s">
        <v>68</v>
      </c>
      <c r="J24" s="4">
        <v>35.303030303030305</v>
      </c>
      <c r="L24" s="2" t="s">
        <v>67</v>
      </c>
      <c r="M24" s="4">
        <v>2.9090909090909092</v>
      </c>
      <c r="O24" s="2" t="s">
        <v>47</v>
      </c>
      <c r="R24" s="1" t="s">
        <v>0</v>
      </c>
      <c r="S24" t="s">
        <v>45</v>
      </c>
    </row>
    <row r="25" spans="5:19" x14ac:dyDescent="0.3">
      <c r="E25" s="2" t="s">
        <v>69</v>
      </c>
      <c r="F25" s="3">
        <v>39</v>
      </c>
      <c r="I25" s="2" t="s">
        <v>69</v>
      </c>
      <c r="J25" s="4">
        <v>35.717948717948715</v>
      </c>
      <c r="L25" s="2" t="s">
        <v>68</v>
      </c>
      <c r="M25" s="4">
        <v>4.5</v>
      </c>
      <c r="O25" s="2" t="s">
        <v>1</v>
      </c>
      <c r="R25" s="2" t="s">
        <v>44</v>
      </c>
      <c r="S25" s="9">
        <v>7</v>
      </c>
    </row>
    <row r="26" spans="5:19" x14ac:dyDescent="0.3">
      <c r="E26" s="2" t="s">
        <v>70</v>
      </c>
      <c r="F26" s="3">
        <v>27</v>
      </c>
      <c r="I26" s="2" t="s">
        <v>70</v>
      </c>
      <c r="J26" s="4">
        <v>41.407407407407405</v>
      </c>
      <c r="L26" s="2" t="s">
        <v>69</v>
      </c>
      <c r="M26" s="4">
        <v>6.1</v>
      </c>
      <c r="R26" s="2" t="s">
        <v>38</v>
      </c>
      <c r="S26" s="9">
        <v>20</v>
      </c>
    </row>
    <row r="27" spans="5:19" x14ac:dyDescent="0.3">
      <c r="E27" s="2" t="s">
        <v>71</v>
      </c>
      <c r="F27" s="3">
        <v>32</v>
      </c>
      <c r="I27" s="2" t="s">
        <v>71</v>
      </c>
      <c r="J27" s="4">
        <v>37.28125</v>
      </c>
      <c r="L27" s="2" t="s">
        <v>70</v>
      </c>
      <c r="M27" s="4">
        <v>6.666666666666667</v>
      </c>
      <c r="R27" s="2" t="s">
        <v>40</v>
      </c>
      <c r="S27" s="9">
        <v>21</v>
      </c>
    </row>
    <row r="28" spans="5:19" x14ac:dyDescent="0.3">
      <c r="E28" s="2" t="s">
        <v>72</v>
      </c>
      <c r="F28" s="3">
        <v>33</v>
      </c>
      <c r="I28" s="2" t="s">
        <v>72</v>
      </c>
      <c r="J28" s="4">
        <v>38.575757575757578</v>
      </c>
      <c r="L28" s="2" t="s">
        <v>71</v>
      </c>
      <c r="M28" s="4">
        <v>5</v>
      </c>
      <c r="R28" s="2" t="s">
        <v>43</v>
      </c>
      <c r="S28" s="9">
        <v>26</v>
      </c>
    </row>
    <row r="29" spans="5:19" x14ac:dyDescent="0.3">
      <c r="E29" s="2" t="s">
        <v>73</v>
      </c>
      <c r="F29" s="3">
        <v>34</v>
      </c>
      <c r="I29" s="2" t="s">
        <v>73</v>
      </c>
      <c r="J29" s="4">
        <v>33.411764705882355</v>
      </c>
      <c r="L29" s="2" t="s">
        <v>72</v>
      </c>
      <c r="M29" s="4">
        <v>2.5555555555555554</v>
      </c>
      <c r="R29" s="2" t="s">
        <v>37</v>
      </c>
      <c r="S29" s="9">
        <v>31</v>
      </c>
    </row>
    <row r="30" spans="5:19" x14ac:dyDescent="0.3">
      <c r="E30" s="2" t="s">
        <v>74</v>
      </c>
      <c r="F30" s="3">
        <v>35</v>
      </c>
      <c r="I30" s="2" t="s">
        <v>74</v>
      </c>
      <c r="J30" s="4">
        <v>36.6</v>
      </c>
      <c r="L30" s="2" t="s">
        <v>73</v>
      </c>
      <c r="M30" s="4">
        <v>5.5714285714285712</v>
      </c>
      <c r="R30" s="2" t="s">
        <v>42</v>
      </c>
      <c r="S30" s="9">
        <v>89</v>
      </c>
    </row>
    <row r="31" spans="5:19" x14ac:dyDescent="0.3">
      <c r="E31" s="2" t="s">
        <v>75</v>
      </c>
      <c r="F31" s="3">
        <v>32</v>
      </c>
      <c r="I31" s="2" t="s">
        <v>75</v>
      </c>
      <c r="J31" s="4">
        <v>31.875</v>
      </c>
      <c r="L31" s="2" t="s">
        <v>74</v>
      </c>
      <c r="M31" s="4">
        <v>4.8461538461538458</v>
      </c>
      <c r="R31" s="2" t="s">
        <v>39</v>
      </c>
      <c r="S31" s="9">
        <v>207</v>
      </c>
    </row>
    <row r="32" spans="5:19" x14ac:dyDescent="0.3">
      <c r="E32" s="2" t="s">
        <v>76</v>
      </c>
      <c r="F32" s="3">
        <v>27</v>
      </c>
      <c r="I32" s="2" t="s">
        <v>76</v>
      </c>
      <c r="J32" s="4">
        <v>36.925925925925924</v>
      </c>
      <c r="L32" s="2" t="s">
        <v>75</v>
      </c>
      <c r="M32" s="4">
        <v>4.8888888888888893</v>
      </c>
      <c r="R32" s="2" t="s">
        <v>41</v>
      </c>
      <c r="S32" s="9">
        <v>547</v>
      </c>
    </row>
    <row r="33" spans="5:19" x14ac:dyDescent="0.3">
      <c r="E33" s="2" t="s">
        <v>77</v>
      </c>
      <c r="F33" s="3">
        <v>30</v>
      </c>
      <c r="I33" s="2" t="s">
        <v>77</v>
      </c>
      <c r="J33" s="4">
        <v>33.533333333333331</v>
      </c>
      <c r="L33" s="2" t="s">
        <v>76</v>
      </c>
      <c r="M33" s="4">
        <v>4.8</v>
      </c>
      <c r="R33" s="2" t="s">
        <v>1</v>
      </c>
      <c r="S33" s="9">
        <v>948</v>
      </c>
    </row>
    <row r="34" spans="5:19" x14ac:dyDescent="0.3">
      <c r="E34" s="2" t="s">
        <v>1</v>
      </c>
      <c r="F34" s="3">
        <v>948</v>
      </c>
      <c r="I34" s="2" t="s">
        <v>1</v>
      </c>
      <c r="J34" s="4">
        <v>34.972573839662445</v>
      </c>
      <c r="L34" s="2" t="s">
        <v>77</v>
      </c>
      <c r="M34" s="4">
        <v>5.375</v>
      </c>
    </row>
    <row r="35" spans="5:19" x14ac:dyDescent="0.3">
      <c r="L35" s="2" t="s">
        <v>1</v>
      </c>
      <c r="M35" s="4">
        <v>4.9889298892988929</v>
      </c>
    </row>
  </sheetData>
  <mergeCells count="1">
    <mergeCell ref="V3:X3"/>
  </mergeCell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FB0FE-A5CB-40DF-8509-1147DB60538A}">
  <dimension ref="B2:O23"/>
  <sheetViews>
    <sheetView zoomScale="104" workbookViewId="0">
      <selection activeCell="Q8" sqref="Q8"/>
    </sheetView>
  </sheetViews>
  <sheetFormatPr defaultRowHeight="14.4" x14ac:dyDescent="0.3"/>
  <sheetData>
    <row r="2" spans="2:15" x14ac:dyDescent="0.3">
      <c r="B2" s="5"/>
      <c r="C2" s="5"/>
      <c r="D2" s="5"/>
      <c r="E2" s="5"/>
      <c r="F2" s="5"/>
      <c r="G2" s="5"/>
      <c r="H2" s="5"/>
      <c r="I2" s="5"/>
      <c r="J2" s="5"/>
      <c r="K2" s="5"/>
      <c r="L2" s="5"/>
      <c r="M2" s="5"/>
      <c r="N2" s="5"/>
    </row>
    <row r="3" spans="2:15" x14ac:dyDescent="0.3">
      <c r="B3" s="5"/>
      <c r="C3" s="5"/>
      <c r="D3" s="5"/>
      <c r="E3" s="5"/>
      <c r="F3" s="5"/>
      <c r="G3" s="5"/>
      <c r="H3" s="5"/>
      <c r="I3" s="5"/>
      <c r="J3" s="5"/>
      <c r="K3" s="5"/>
      <c r="L3" s="5"/>
      <c r="M3" s="5"/>
      <c r="N3" s="5"/>
    </row>
    <row r="4" spans="2:15" x14ac:dyDescent="0.3">
      <c r="B4" s="5"/>
      <c r="C4" s="5"/>
      <c r="D4" s="5"/>
      <c r="E4" s="5"/>
      <c r="F4" s="5"/>
      <c r="G4" s="5"/>
      <c r="H4" s="5"/>
      <c r="I4" s="5"/>
      <c r="J4" s="5"/>
      <c r="K4" s="5"/>
      <c r="L4" s="5"/>
      <c r="M4" s="5"/>
      <c r="N4" s="5"/>
    </row>
    <row r="5" spans="2:15" x14ac:dyDescent="0.3">
      <c r="B5" s="5"/>
      <c r="C5" s="5"/>
      <c r="D5" s="5"/>
      <c r="E5" s="5"/>
      <c r="F5" s="5"/>
      <c r="G5" s="5"/>
      <c r="H5" s="5"/>
      <c r="I5" s="5"/>
      <c r="J5" s="5"/>
      <c r="K5" s="5"/>
      <c r="L5" s="5"/>
      <c r="M5" s="5"/>
      <c r="N5" s="5"/>
      <c r="O5" s="17"/>
    </row>
    <row r="6" spans="2:15" x14ac:dyDescent="0.3">
      <c r="B6" s="5"/>
      <c r="C6" s="5"/>
      <c r="D6" s="5"/>
      <c r="E6" s="5"/>
      <c r="F6" s="5"/>
      <c r="G6" s="5"/>
      <c r="H6" s="5"/>
      <c r="I6" s="5"/>
      <c r="J6" s="5"/>
      <c r="K6" s="5"/>
      <c r="L6" s="5"/>
      <c r="M6" s="5"/>
      <c r="N6" s="5"/>
    </row>
    <row r="7" spans="2:15" x14ac:dyDescent="0.3">
      <c r="B7" s="5"/>
      <c r="C7" s="5"/>
      <c r="D7" s="5"/>
      <c r="E7" s="5"/>
      <c r="F7" s="5"/>
      <c r="G7" s="5"/>
      <c r="H7" s="5"/>
      <c r="I7" s="5"/>
      <c r="J7" s="5"/>
      <c r="K7" s="5"/>
      <c r="L7" s="5"/>
      <c r="M7" s="5"/>
      <c r="N7" s="5"/>
    </row>
    <row r="8" spans="2:15" x14ac:dyDescent="0.3">
      <c r="B8" s="5"/>
      <c r="C8" s="5"/>
      <c r="D8" s="5"/>
      <c r="E8" s="5"/>
      <c r="F8" s="5"/>
      <c r="G8" s="5"/>
      <c r="H8" s="5"/>
      <c r="I8" s="5"/>
      <c r="J8" s="5"/>
      <c r="K8" s="5"/>
      <c r="L8" s="5"/>
      <c r="M8" s="5"/>
      <c r="N8" s="5"/>
    </row>
    <row r="9" spans="2:15" x14ac:dyDescent="0.3">
      <c r="B9" s="5"/>
      <c r="C9" s="5"/>
      <c r="D9" s="5"/>
      <c r="E9" s="5"/>
      <c r="F9" s="5"/>
      <c r="G9" s="5"/>
      <c r="H9" s="5"/>
      <c r="I9" s="5"/>
      <c r="J9" s="5"/>
      <c r="K9" s="5"/>
      <c r="L9" s="5"/>
      <c r="M9" s="5"/>
      <c r="N9" s="5"/>
    </row>
    <row r="10" spans="2:15" x14ac:dyDescent="0.3">
      <c r="B10" s="5"/>
      <c r="C10" s="5"/>
      <c r="D10" s="5"/>
      <c r="E10" s="5"/>
      <c r="F10" s="5"/>
      <c r="G10" s="5"/>
      <c r="H10" s="5"/>
      <c r="I10" s="5"/>
      <c r="J10" s="5"/>
      <c r="K10" s="5"/>
      <c r="L10" s="5"/>
      <c r="M10" s="5"/>
      <c r="N10" s="5"/>
    </row>
    <row r="11" spans="2:15" x14ac:dyDescent="0.3">
      <c r="B11" s="5"/>
      <c r="C11" s="5"/>
      <c r="D11" s="5"/>
      <c r="E11" s="5"/>
      <c r="F11" s="5"/>
      <c r="G11" s="5"/>
      <c r="H11" s="5"/>
      <c r="I11" s="5"/>
      <c r="J11" s="5"/>
      <c r="K11" s="5"/>
      <c r="L11" s="5"/>
      <c r="M11" s="5"/>
      <c r="N11" s="5"/>
    </row>
    <row r="12" spans="2:15" x14ac:dyDescent="0.3">
      <c r="B12" s="5"/>
      <c r="C12" s="5"/>
      <c r="D12" s="5"/>
      <c r="E12" s="5"/>
      <c r="F12" s="5"/>
      <c r="G12" s="5"/>
      <c r="H12" s="5"/>
      <c r="I12" s="5"/>
      <c r="J12" s="5"/>
      <c r="K12" s="5"/>
      <c r="L12" s="5"/>
      <c r="M12" s="5"/>
      <c r="N12" s="5"/>
    </row>
    <row r="13" spans="2:15" x14ac:dyDescent="0.3">
      <c r="B13" s="5"/>
      <c r="C13" s="5"/>
      <c r="D13" s="5"/>
      <c r="E13" s="5"/>
      <c r="F13" s="5"/>
      <c r="G13" s="5"/>
      <c r="H13" s="5"/>
      <c r="I13" s="5"/>
      <c r="J13" s="5"/>
      <c r="K13" s="5"/>
      <c r="L13" s="5"/>
      <c r="M13" s="5"/>
      <c r="N13" s="5"/>
    </row>
    <row r="14" spans="2:15" x14ac:dyDescent="0.3">
      <c r="B14" s="5"/>
      <c r="C14" s="5"/>
      <c r="D14" s="5"/>
      <c r="E14" s="5"/>
      <c r="F14" s="5"/>
      <c r="G14" s="5"/>
      <c r="H14" s="5"/>
      <c r="I14" s="5"/>
      <c r="J14" s="5"/>
      <c r="K14" s="5"/>
      <c r="L14" s="5"/>
      <c r="M14" s="5"/>
      <c r="N14" s="5"/>
    </row>
    <row r="15" spans="2:15" x14ac:dyDescent="0.3">
      <c r="B15" s="5"/>
      <c r="C15" s="5"/>
      <c r="D15" s="5"/>
      <c r="E15" s="5"/>
      <c r="F15" s="5"/>
      <c r="G15" s="5"/>
      <c r="H15" s="5"/>
      <c r="I15" s="5"/>
      <c r="J15" s="5"/>
      <c r="K15" s="5"/>
      <c r="L15" s="5"/>
      <c r="M15" s="5"/>
      <c r="N15" s="5"/>
    </row>
    <row r="16" spans="2:15" x14ac:dyDescent="0.3">
      <c r="B16" s="5"/>
      <c r="C16" s="5"/>
      <c r="D16" s="5"/>
      <c r="E16" s="5"/>
      <c r="F16" s="5"/>
      <c r="G16" s="5"/>
      <c r="H16" s="5"/>
      <c r="I16" s="5"/>
      <c r="J16" s="5"/>
      <c r="K16" s="5"/>
      <c r="L16" s="5"/>
      <c r="M16" s="5"/>
      <c r="N16" s="5"/>
    </row>
    <row r="17" spans="2:14" x14ac:dyDescent="0.3">
      <c r="B17" s="5"/>
      <c r="C17" s="5"/>
      <c r="D17" s="5"/>
      <c r="E17" s="5"/>
      <c r="F17" s="5"/>
      <c r="G17" s="5"/>
      <c r="H17" s="5"/>
      <c r="I17" s="5"/>
      <c r="J17" s="5"/>
      <c r="K17" s="5"/>
      <c r="L17" s="5"/>
      <c r="M17" s="5"/>
      <c r="N17" s="5"/>
    </row>
    <row r="18" spans="2:14" x14ac:dyDescent="0.3">
      <c r="B18" s="5"/>
      <c r="C18" s="5"/>
      <c r="D18" s="5"/>
      <c r="E18" s="5"/>
      <c r="F18" s="5"/>
      <c r="G18" s="5"/>
      <c r="H18" s="5"/>
      <c r="I18" s="5"/>
      <c r="J18" s="5"/>
      <c r="K18" s="5"/>
      <c r="L18" s="5"/>
      <c r="M18" s="5"/>
      <c r="N18" s="5"/>
    </row>
    <row r="19" spans="2:14" x14ac:dyDescent="0.3">
      <c r="B19" s="5"/>
      <c r="C19" s="5"/>
      <c r="D19" s="5"/>
      <c r="E19" s="5"/>
      <c r="F19" s="5"/>
      <c r="G19" s="5"/>
      <c r="H19" s="5"/>
      <c r="I19" s="5"/>
      <c r="J19" s="5"/>
      <c r="K19" s="5"/>
      <c r="L19" s="5"/>
      <c r="M19" s="5"/>
      <c r="N19" s="5"/>
    </row>
    <row r="20" spans="2:14" x14ac:dyDescent="0.3">
      <c r="B20" s="5"/>
      <c r="C20" s="5"/>
      <c r="D20" s="5"/>
      <c r="E20" s="5"/>
      <c r="F20" s="5"/>
      <c r="G20" s="5"/>
      <c r="H20" s="5"/>
      <c r="I20" s="5"/>
      <c r="J20" s="5"/>
      <c r="K20" s="5"/>
      <c r="L20" s="5"/>
      <c r="M20" s="5"/>
      <c r="N20" s="5"/>
    </row>
    <row r="21" spans="2:14" x14ac:dyDescent="0.3">
      <c r="B21" s="5"/>
      <c r="C21" s="5"/>
      <c r="D21" s="5"/>
      <c r="E21" s="5"/>
      <c r="F21" s="5"/>
      <c r="G21" s="5"/>
      <c r="H21" s="5"/>
      <c r="I21" s="5"/>
      <c r="J21" s="5"/>
      <c r="K21" s="5"/>
      <c r="L21" s="5"/>
      <c r="M21" s="5"/>
      <c r="N21" s="5"/>
    </row>
    <row r="22" spans="2:14" x14ac:dyDescent="0.3">
      <c r="B22" s="5"/>
      <c r="C22" s="5"/>
      <c r="D22" s="5"/>
      <c r="E22" s="5"/>
      <c r="F22" s="5"/>
      <c r="G22" s="5"/>
      <c r="H22" s="5"/>
      <c r="I22" s="5"/>
      <c r="J22" s="5"/>
      <c r="K22" s="5"/>
      <c r="L22" s="5"/>
      <c r="M22" s="5"/>
      <c r="N22" s="5"/>
    </row>
    <row r="23" spans="2:14" x14ac:dyDescent="0.3">
      <c r="B23" s="5"/>
      <c r="C23" s="5"/>
      <c r="D23" s="5"/>
      <c r="E23" s="5"/>
      <c r="F23" s="5"/>
      <c r="G23" s="5"/>
      <c r="H23" s="5"/>
      <c r="I23" s="5"/>
      <c r="J23" s="5"/>
      <c r="K23" s="5"/>
      <c r="L23" s="5"/>
      <c r="M23" s="5"/>
      <c r="N23" s="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C52C5-FB99-4AB9-B390-10DD1D4EA52C}">
  <dimension ref="A2:Q26"/>
  <sheetViews>
    <sheetView workbookViewId="0">
      <selection activeCell="R9" sqref="R9"/>
    </sheetView>
  </sheetViews>
  <sheetFormatPr defaultRowHeight="14.4" x14ac:dyDescent="0.3"/>
  <sheetData>
    <row r="2" spans="1:17" x14ac:dyDescent="0.3">
      <c r="A2" s="8"/>
      <c r="B2" s="8"/>
      <c r="C2" s="8"/>
      <c r="D2" s="8"/>
      <c r="E2" s="8"/>
      <c r="F2" s="8"/>
      <c r="G2" s="8"/>
      <c r="H2" s="8"/>
      <c r="I2" s="8"/>
      <c r="J2" s="8"/>
      <c r="K2" s="8"/>
      <c r="L2" s="8"/>
      <c r="M2" s="8"/>
      <c r="N2" s="8"/>
      <c r="O2" s="8"/>
      <c r="P2" s="8"/>
      <c r="Q2" s="6"/>
    </row>
    <row r="3" spans="1:17" x14ac:dyDescent="0.3">
      <c r="A3" s="8"/>
      <c r="B3" s="8"/>
      <c r="C3" s="8"/>
      <c r="D3" s="8"/>
      <c r="E3" s="8"/>
      <c r="F3" s="8"/>
      <c r="G3" s="8"/>
      <c r="H3" s="8"/>
      <c r="I3" s="8"/>
      <c r="J3" s="8"/>
      <c r="K3" s="8"/>
      <c r="L3" s="8"/>
      <c r="M3" s="8"/>
      <c r="N3" s="8"/>
      <c r="O3" s="8"/>
      <c r="P3" s="8"/>
      <c r="Q3" s="6"/>
    </row>
    <row r="4" spans="1:17" x14ac:dyDescent="0.3">
      <c r="A4" s="8"/>
      <c r="B4" s="8"/>
      <c r="C4" s="8"/>
      <c r="D4" s="8"/>
      <c r="E4" s="8"/>
      <c r="F4" s="8"/>
      <c r="G4" s="8"/>
      <c r="H4" s="8"/>
      <c r="I4" s="8"/>
      <c r="J4" s="8"/>
      <c r="K4" s="8"/>
      <c r="L4" s="8"/>
      <c r="M4" s="8"/>
      <c r="N4" s="8"/>
      <c r="O4" s="8"/>
      <c r="P4" s="8"/>
      <c r="Q4" s="6"/>
    </row>
    <row r="5" spans="1:17" x14ac:dyDescent="0.3">
      <c r="A5" s="8"/>
      <c r="B5" s="8"/>
      <c r="C5" s="8"/>
      <c r="D5" s="8"/>
      <c r="E5" s="8"/>
      <c r="F5" s="8"/>
      <c r="G5" s="8"/>
      <c r="H5" s="8"/>
      <c r="I5" s="8"/>
      <c r="J5" s="8"/>
      <c r="K5" s="8"/>
      <c r="L5" s="8"/>
      <c r="M5" s="8"/>
      <c r="N5" s="8"/>
      <c r="O5" s="8"/>
      <c r="P5" s="8"/>
      <c r="Q5" s="6"/>
    </row>
    <row r="6" spans="1:17" x14ac:dyDescent="0.3">
      <c r="A6" s="8"/>
      <c r="B6" s="8"/>
      <c r="C6" s="8"/>
      <c r="D6" s="8"/>
      <c r="E6" s="8"/>
      <c r="F6" s="8"/>
      <c r="G6" s="8"/>
      <c r="H6" s="8"/>
      <c r="I6" s="8"/>
      <c r="J6" s="8"/>
      <c r="K6" s="8"/>
      <c r="L6" s="8"/>
      <c r="M6" s="8"/>
      <c r="N6" s="8"/>
      <c r="O6" s="8"/>
      <c r="P6" s="8"/>
      <c r="Q6" s="6"/>
    </row>
    <row r="7" spans="1:17" x14ac:dyDescent="0.3">
      <c r="A7" s="8"/>
      <c r="B7" s="8"/>
      <c r="C7" s="8"/>
      <c r="D7" s="8"/>
      <c r="E7" s="8"/>
      <c r="F7" s="8"/>
      <c r="G7" s="8"/>
      <c r="H7" s="8"/>
      <c r="I7" s="8"/>
      <c r="J7" s="8"/>
      <c r="K7" s="8"/>
      <c r="L7" s="8"/>
      <c r="M7" s="8"/>
      <c r="N7" s="8"/>
      <c r="O7" s="8"/>
      <c r="P7" s="8"/>
      <c r="Q7" s="6"/>
    </row>
    <row r="8" spans="1:17" x14ac:dyDescent="0.3">
      <c r="A8" s="8"/>
      <c r="B8" s="8"/>
      <c r="C8" s="8"/>
      <c r="D8" s="8"/>
      <c r="E8" s="8"/>
      <c r="F8" s="8"/>
      <c r="G8" s="8"/>
      <c r="H8" s="8"/>
      <c r="I8" s="8"/>
      <c r="J8" s="8"/>
      <c r="K8" s="8"/>
      <c r="L8" s="8"/>
      <c r="M8" s="8"/>
      <c r="N8" s="8"/>
      <c r="O8" s="8"/>
      <c r="P8" s="8"/>
      <c r="Q8" s="6"/>
    </row>
    <row r="9" spans="1:17" x14ac:dyDescent="0.3">
      <c r="A9" s="8"/>
      <c r="B9" s="8"/>
      <c r="C9" s="8"/>
      <c r="D9" s="8"/>
      <c r="E9" s="8"/>
      <c r="F9" s="8"/>
      <c r="G9" s="8"/>
      <c r="H9" s="8"/>
      <c r="I9" s="8"/>
      <c r="J9" s="8"/>
      <c r="K9" s="8"/>
      <c r="L9" s="8"/>
      <c r="M9" s="8"/>
      <c r="N9" s="8"/>
      <c r="O9" s="8"/>
      <c r="P9" s="8"/>
      <c r="Q9" s="6"/>
    </row>
    <row r="10" spans="1:17" x14ac:dyDescent="0.3">
      <c r="A10" s="8"/>
      <c r="B10" s="8"/>
      <c r="C10" s="8"/>
      <c r="D10" s="8"/>
      <c r="E10" s="8"/>
      <c r="F10" s="8"/>
      <c r="G10" s="8"/>
      <c r="H10" s="8"/>
      <c r="I10" s="8"/>
      <c r="J10" s="8"/>
      <c r="K10" s="8"/>
      <c r="L10" s="8"/>
      <c r="M10" s="8"/>
      <c r="N10" s="8"/>
      <c r="O10" s="8"/>
      <c r="P10" s="8"/>
      <c r="Q10" s="6"/>
    </row>
    <row r="11" spans="1:17" x14ac:dyDescent="0.3">
      <c r="A11" s="8"/>
      <c r="B11" s="8"/>
      <c r="C11" s="8"/>
      <c r="D11" s="8"/>
      <c r="E11" s="8"/>
      <c r="F11" s="8"/>
      <c r="G11" s="8"/>
      <c r="H11" s="8"/>
      <c r="I11" s="8"/>
      <c r="J11" s="8"/>
      <c r="K11" s="8"/>
      <c r="L11" s="8"/>
      <c r="M11" s="8"/>
      <c r="N11" s="8"/>
      <c r="O11" s="8"/>
      <c r="P11" s="8"/>
      <c r="Q11" s="6"/>
    </row>
    <row r="12" spans="1:17" x14ac:dyDescent="0.3">
      <c r="A12" s="8"/>
      <c r="B12" s="8"/>
      <c r="C12" s="8"/>
      <c r="D12" s="8"/>
      <c r="E12" s="8"/>
      <c r="F12" s="8"/>
      <c r="G12" s="8"/>
      <c r="H12" s="8"/>
      <c r="I12" s="8"/>
      <c r="J12" s="8"/>
      <c r="K12" s="8"/>
      <c r="L12" s="8"/>
      <c r="M12" s="8"/>
      <c r="N12" s="8"/>
      <c r="O12" s="8"/>
      <c r="P12" s="8"/>
      <c r="Q12" s="6"/>
    </row>
    <row r="13" spans="1:17" x14ac:dyDescent="0.3">
      <c r="A13" s="8"/>
      <c r="B13" s="8"/>
      <c r="C13" s="8"/>
      <c r="D13" s="8"/>
      <c r="E13" s="8"/>
      <c r="F13" s="8"/>
      <c r="G13" s="8"/>
      <c r="H13" s="8"/>
      <c r="I13" s="8"/>
      <c r="J13" s="8"/>
      <c r="K13" s="8"/>
      <c r="L13" s="8"/>
      <c r="M13" s="8"/>
      <c r="N13" s="8"/>
      <c r="O13" s="8"/>
      <c r="P13" s="8"/>
      <c r="Q13" s="6"/>
    </row>
    <row r="14" spans="1:17" x14ac:dyDescent="0.3">
      <c r="A14" s="8"/>
      <c r="B14" s="8"/>
      <c r="C14" s="8"/>
      <c r="D14" s="8"/>
      <c r="E14" s="8"/>
      <c r="F14" s="8"/>
      <c r="G14" s="8"/>
      <c r="H14" s="8"/>
      <c r="I14" s="8"/>
      <c r="J14" s="8"/>
      <c r="K14" s="8"/>
      <c r="L14" s="8"/>
      <c r="M14" s="8"/>
      <c r="N14" s="8"/>
      <c r="O14" s="8"/>
      <c r="P14" s="8"/>
      <c r="Q14" s="6"/>
    </row>
    <row r="15" spans="1:17" x14ac:dyDescent="0.3">
      <c r="A15" s="8"/>
      <c r="B15" s="8"/>
      <c r="C15" s="8"/>
      <c r="D15" s="8"/>
      <c r="E15" s="8"/>
      <c r="F15" s="8"/>
      <c r="G15" s="8"/>
      <c r="H15" s="8"/>
      <c r="I15" s="8"/>
      <c r="J15" s="8"/>
      <c r="K15" s="8"/>
      <c r="L15" s="8"/>
      <c r="M15" s="8"/>
      <c r="N15" s="8"/>
      <c r="O15" s="8"/>
      <c r="P15" s="8"/>
      <c r="Q15" s="6"/>
    </row>
    <row r="16" spans="1:17" x14ac:dyDescent="0.3">
      <c r="A16" s="8"/>
      <c r="B16" s="8"/>
      <c r="C16" s="8"/>
      <c r="D16" s="8"/>
      <c r="E16" s="8"/>
      <c r="F16" s="8"/>
      <c r="G16" s="8"/>
      <c r="H16" s="8"/>
      <c r="I16" s="8"/>
      <c r="J16" s="8"/>
      <c r="K16" s="8"/>
      <c r="L16" s="8"/>
      <c r="M16" s="8"/>
      <c r="N16" s="8"/>
      <c r="O16" s="8"/>
      <c r="P16" s="8"/>
      <c r="Q16" s="6"/>
    </row>
    <row r="17" spans="1:17" x14ac:dyDescent="0.3">
      <c r="A17" s="8"/>
      <c r="B17" s="8"/>
      <c r="C17" s="8"/>
      <c r="D17" s="8"/>
      <c r="E17" s="8"/>
      <c r="F17" s="8"/>
      <c r="G17" s="8"/>
      <c r="H17" s="8"/>
      <c r="I17" s="8"/>
      <c r="J17" s="8"/>
      <c r="K17" s="8"/>
      <c r="L17" s="8"/>
      <c r="M17" s="8"/>
      <c r="N17" s="8"/>
      <c r="O17" s="8"/>
      <c r="P17" s="8"/>
      <c r="Q17" s="6"/>
    </row>
    <row r="18" spans="1:17" x14ac:dyDescent="0.3">
      <c r="A18" s="8"/>
      <c r="B18" s="8"/>
      <c r="C18" s="8"/>
      <c r="D18" s="8"/>
      <c r="E18" s="8"/>
      <c r="F18" s="8"/>
      <c r="G18" s="8"/>
      <c r="H18" s="8"/>
      <c r="I18" s="8"/>
      <c r="J18" s="8"/>
      <c r="K18" s="8"/>
      <c r="L18" s="8"/>
      <c r="M18" s="8"/>
      <c r="N18" s="8"/>
      <c r="O18" s="8"/>
      <c r="P18" s="8"/>
      <c r="Q18" s="6"/>
    </row>
    <row r="19" spans="1:17" x14ac:dyDescent="0.3">
      <c r="A19" s="8"/>
      <c r="B19" s="8"/>
      <c r="C19" s="8"/>
      <c r="D19" s="8"/>
      <c r="E19" s="8"/>
      <c r="F19" s="8"/>
      <c r="G19" s="8"/>
      <c r="H19" s="8"/>
      <c r="I19" s="8"/>
      <c r="J19" s="8"/>
      <c r="K19" s="8"/>
      <c r="L19" s="8"/>
      <c r="M19" s="8"/>
      <c r="N19" s="8"/>
      <c r="O19" s="8"/>
      <c r="P19" s="8"/>
      <c r="Q19" s="6"/>
    </row>
    <row r="20" spans="1:17" x14ac:dyDescent="0.3">
      <c r="A20" s="8"/>
      <c r="B20" s="8"/>
      <c r="C20" s="8"/>
      <c r="D20" s="8"/>
      <c r="E20" s="8"/>
      <c r="F20" s="8"/>
      <c r="G20" s="8"/>
      <c r="H20" s="8"/>
      <c r="I20" s="8"/>
      <c r="J20" s="8"/>
      <c r="K20" s="8"/>
      <c r="L20" s="8"/>
      <c r="M20" s="8"/>
      <c r="N20" s="8"/>
      <c r="O20" s="8"/>
      <c r="P20" s="8"/>
      <c r="Q20" s="6"/>
    </row>
    <row r="21" spans="1:17" x14ac:dyDescent="0.3">
      <c r="A21" s="8"/>
      <c r="B21" s="8"/>
      <c r="C21" s="8"/>
      <c r="D21" s="8"/>
      <c r="E21" s="8"/>
      <c r="F21" s="8"/>
      <c r="G21" s="8"/>
      <c r="H21" s="8"/>
      <c r="I21" s="8"/>
      <c r="J21" s="8"/>
      <c r="K21" s="8"/>
      <c r="L21" s="8"/>
      <c r="M21" s="8"/>
      <c r="N21" s="8"/>
      <c r="O21" s="8"/>
      <c r="P21" s="8"/>
      <c r="Q21" s="6"/>
    </row>
    <row r="22" spans="1:17" x14ac:dyDescent="0.3">
      <c r="A22" s="8"/>
      <c r="B22" s="8"/>
      <c r="C22" s="8"/>
      <c r="D22" s="8"/>
      <c r="E22" s="8"/>
      <c r="F22" s="8"/>
      <c r="G22" s="8"/>
      <c r="H22" s="8"/>
      <c r="I22" s="8"/>
      <c r="J22" s="8"/>
      <c r="K22" s="8"/>
      <c r="L22" s="8"/>
      <c r="M22" s="8"/>
      <c r="N22" s="8"/>
      <c r="O22" s="8"/>
      <c r="P22" s="8"/>
      <c r="Q22" s="6"/>
    </row>
    <row r="23" spans="1:17" x14ac:dyDescent="0.3">
      <c r="A23" s="8"/>
      <c r="B23" s="8"/>
      <c r="C23" s="8"/>
      <c r="D23" s="8"/>
      <c r="E23" s="8"/>
      <c r="F23" s="8"/>
      <c r="G23" s="8"/>
      <c r="H23" s="8"/>
      <c r="I23" s="8"/>
      <c r="J23" s="8"/>
      <c r="K23" s="8"/>
      <c r="L23" s="8"/>
      <c r="M23" s="8"/>
      <c r="N23" s="8"/>
      <c r="O23" s="8"/>
      <c r="P23" s="8"/>
      <c r="Q23" s="6"/>
    </row>
    <row r="24" spans="1:17" x14ac:dyDescent="0.3">
      <c r="A24" s="8"/>
      <c r="B24" s="8"/>
      <c r="C24" s="8"/>
      <c r="D24" s="8"/>
      <c r="E24" s="8"/>
      <c r="F24" s="8"/>
      <c r="G24" s="8"/>
      <c r="H24" s="8"/>
      <c r="I24" s="8"/>
      <c r="J24" s="8"/>
      <c r="K24" s="8"/>
      <c r="L24" s="8"/>
      <c r="M24" s="8"/>
      <c r="N24" s="8"/>
      <c r="O24" s="8"/>
      <c r="P24" s="8"/>
      <c r="Q24" s="6"/>
    </row>
    <row r="25" spans="1:17" x14ac:dyDescent="0.3">
      <c r="A25" s="8"/>
      <c r="B25" s="8"/>
      <c r="C25" s="8"/>
      <c r="D25" s="8"/>
      <c r="E25" s="8"/>
      <c r="F25" s="8"/>
      <c r="G25" s="8"/>
      <c r="H25" s="8"/>
      <c r="I25" s="8"/>
      <c r="J25" s="8"/>
      <c r="K25" s="8"/>
      <c r="L25" s="8"/>
      <c r="M25" s="8"/>
      <c r="N25" s="8"/>
      <c r="O25" s="8"/>
      <c r="P25" s="8"/>
      <c r="Q25" s="6"/>
    </row>
    <row r="26" spans="1:17" x14ac:dyDescent="0.3">
      <c r="A26" s="7"/>
      <c r="B26" s="7"/>
      <c r="C26" s="7"/>
      <c r="D26" s="7"/>
      <c r="E26" s="7"/>
      <c r="F26" s="7"/>
      <c r="G26" s="7"/>
      <c r="H26" s="7"/>
      <c r="I26" s="7"/>
      <c r="J26" s="7"/>
      <c r="K26" s="7"/>
      <c r="L26" s="7"/>
      <c r="M26" s="7"/>
      <c r="N26" s="7"/>
      <c r="O26" s="7"/>
      <c r="P26"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399EC-10E0-4DC6-9DD2-3B83F9CED1D5}">
  <dimension ref="A2:Q25"/>
  <sheetViews>
    <sheetView tabSelected="1" workbookViewId="0"/>
  </sheetViews>
  <sheetFormatPr defaultRowHeight="14.4" x14ac:dyDescent="0.3"/>
  <sheetData>
    <row r="2" spans="1:17" x14ac:dyDescent="0.3">
      <c r="A2" s="6"/>
      <c r="B2" s="6"/>
      <c r="C2" s="6"/>
      <c r="D2" s="6"/>
      <c r="E2" s="6"/>
      <c r="F2" s="6"/>
      <c r="G2" s="6"/>
      <c r="H2" s="6"/>
      <c r="I2" s="6"/>
      <c r="J2" s="6"/>
      <c r="K2" s="6"/>
      <c r="L2" s="6"/>
      <c r="M2" s="6"/>
      <c r="N2" s="6"/>
      <c r="O2" s="6"/>
      <c r="P2" s="6"/>
      <c r="Q2" s="6"/>
    </row>
    <row r="3" spans="1:17" x14ac:dyDescent="0.3">
      <c r="A3" s="6"/>
      <c r="B3" s="6"/>
      <c r="C3" s="6"/>
      <c r="D3" s="6"/>
      <c r="E3" s="6"/>
      <c r="F3" s="6"/>
      <c r="G3" s="6"/>
      <c r="H3" s="6"/>
      <c r="I3" s="6"/>
      <c r="J3" s="6"/>
      <c r="K3" s="6"/>
      <c r="L3" s="6"/>
      <c r="M3" s="6"/>
      <c r="N3" s="6"/>
      <c r="O3" s="6"/>
      <c r="P3" s="6"/>
      <c r="Q3" s="6"/>
    </row>
    <row r="4" spans="1:17" x14ac:dyDescent="0.3">
      <c r="A4" s="6"/>
      <c r="B4" s="6"/>
      <c r="C4" s="6"/>
      <c r="D4" s="6"/>
      <c r="E4" s="6"/>
      <c r="F4" s="6"/>
      <c r="G4" s="6"/>
      <c r="H4" s="6"/>
      <c r="I4" s="6"/>
      <c r="J4" s="6"/>
      <c r="K4" s="6"/>
      <c r="L4" s="6"/>
      <c r="M4" s="6"/>
      <c r="N4" s="6"/>
      <c r="O4" s="6"/>
      <c r="P4" s="6"/>
      <c r="Q4" s="6"/>
    </row>
    <row r="5" spans="1:17" x14ac:dyDescent="0.3">
      <c r="A5" s="6"/>
      <c r="B5" s="6"/>
      <c r="C5" s="6"/>
      <c r="D5" s="6"/>
      <c r="E5" s="6"/>
      <c r="F5" s="6"/>
      <c r="G5" s="6"/>
      <c r="H5" s="6"/>
      <c r="I5" s="6"/>
      <c r="J5" s="6"/>
      <c r="K5" s="6"/>
      <c r="L5" s="6"/>
      <c r="M5" s="6"/>
      <c r="N5" s="6"/>
      <c r="O5" s="6"/>
      <c r="P5" s="6"/>
      <c r="Q5" s="6"/>
    </row>
    <row r="6" spans="1:17" x14ac:dyDescent="0.3">
      <c r="A6" s="6"/>
      <c r="B6" s="6"/>
      <c r="C6" s="6"/>
      <c r="D6" s="6"/>
      <c r="E6" s="6"/>
      <c r="F6" s="6"/>
      <c r="G6" s="6"/>
      <c r="H6" s="6"/>
      <c r="I6" s="6"/>
      <c r="J6" s="6"/>
      <c r="K6" s="6"/>
      <c r="L6" s="6"/>
      <c r="M6" s="6"/>
      <c r="N6" s="6"/>
      <c r="O6" s="6"/>
      <c r="P6" s="6"/>
      <c r="Q6" s="6"/>
    </row>
    <row r="7" spans="1:17" x14ac:dyDescent="0.3">
      <c r="A7" s="6"/>
      <c r="B7" s="6"/>
      <c r="C7" s="6"/>
      <c r="D7" s="6"/>
      <c r="E7" s="6"/>
      <c r="F7" s="6"/>
      <c r="G7" s="6"/>
      <c r="H7" s="6"/>
      <c r="I7" s="6"/>
      <c r="J7" s="6"/>
      <c r="K7" s="6"/>
      <c r="L7" s="6"/>
      <c r="M7" s="6"/>
      <c r="N7" s="6"/>
      <c r="O7" s="6"/>
      <c r="P7" s="6"/>
      <c r="Q7" s="6"/>
    </row>
    <row r="8" spans="1:17" x14ac:dyDescent="0.3">
      <c r="A8" s="6"/>
      <c r="B8" s="6"/>
      <c r="C8" s="6"/>
      <c r="D8" s="6"/>
      <c r="E8" s="6"/>
      <c r="F8" s="6"/>
      <c r="G8" s="6"/>
      <c r="H8" s="6"/>
      <c r="I8" s="6"/>
      <c r="J8" s="6"/>
      <c r="K8" s="6"/>
      <c r="L8" s="6"/>
      <c r="M8" s="6"/>
      <c r="N8" s="6"/>
      <c r="O8" s="6"/>
      <c r="P8" s="6"/>
      <c r="Q8" s="6"/>
    </row>
    <row r="9" spans="1:17" x14ac:dyDescent="0.3">
      <c r="A9" s="6"/>
      <c r="B9" s="6"/>
      <c r="C9" s="6"/>
      <c r="D9" s="6"/>
      <c r="E9" s="6"/>
      <c r="F9" s="6"/>
      <c r="G9" s="6"/>
      <c r="H9" s="6"/>
      <c r="I9" s="6"/>
      <c r="J9" s="6"/>
      <c r="K9" s="6"/>
      <c r="L9" s="6"/>
      <c r="M9" s="6"/>
      <c r="N9" s="6"/>
      <c r="O9" s="6"/>
      <c r="P9" s="6"/>
      <c r="Q9" s="6"/>
    </row>
    <row r="10" spans="1:17" x14ac:dyDescent="0.3">
      <c r="A10" s="6"/>
      <c r="B10" s="6"/>
      <c r="C10" s="6"/>
      <c r="D10" s="6"/>
      <c r="E10" s="6"/>
      <c r="F10" s="6"/>
      <c r="G10" s="6"/>
      <c r="H10" s="6"/>
      <c r="I10" s="6"/>
      <c r="J10" s="6"/>
      <c r="K10" s="6"/>
      <c r="L10" s="6"/>
      <c r="M10" s="6"/>
      <c r="N10" s="6"/>
      <c r="O10" s="6"/>
      <c r="P10" s="6"/>
      <c r="Q10" s="6"/>
    </row>
    <row r="11" spans="1:17" x14ac:dyDescent="0.3">
      <c r="A11" s="6"/>
      <c r="B11" s="6"/>
      <c r="C11" s="6"/>
      <c r="D11" s="6"/>
      <c r="E11" s="6"/>
      <c r="F11" s="6"/>
      <c r="G11" s="6"/>
      <c r="H11" s="6"/>
      <c r="I11" s="6"/>
      <c r="J11" s="6"/>
      <c r="K11" s="6"/>
      <c r="L11" s="6"/>
      <c r="M11" s="6"/>
      <c r="N11" s="6"/>
      <c r="O11" s="6"/>
      <c r="P11" s="6"/>
      <c r="Q11" s="6"/>
    </row>
    <row r="12" spans="1:17" x14ac:dyDescent="0.3">
      <c r="A12" s="6"/>
      <c r="B12" s="6"/>
      <c r="C12" s="6"/>
      <c r="D12" s="6"/>
      <c r="E12" s="6"/>
      <c r="F12" s="6"/>
      <c r="G12" s="6"/>
      <c r="H12" s="6"/>
      <c r="I12" s="6"/>
      <c r="J12" s="6"/>
      <c r="K12" s="6"/>
      <c r="L12" s="6"/>
      <c r="M12" s="6"/>
      <c r="N12" s="6"/>
      <c r="O12" s="6"/>
      <c r="P12" s="6"/>
      <c r="Q12" s="6"/>
    </row>
    <row r="13" spans="1:17" x14ac:dyDescent="0.3">
      <c r="A13" s="6"/>
      <c r="B13" s="6"/>
      <c r="C13" s="6"/>
      <c r="D13" s="6"/>
      <c r="E13" s="6"/>
      <c r="F13" s="6"/>
      <c r="G13" s="6"/>
      <c r="H13" s="6"/>
      <c r="I13" s="6"/>
      <c r="J13" s="6"/>
      <c r="K13" s="6"/>
      <c r="L13" s="6"/>
      <c r="M13" s="6"/>
      <c r="N13" s="6"/>
      <c r="O13" s="6"/>
      <c r="P13" s="6"/>
      <c r="Q13" s="6"/>
    </row>
    <row r="14" spans="1:17" x14ac:dyDescent="0.3">
      <c r="A14" s="6"/>
      <c r="B14" s="6"/>
      <c r="C14" s="6"/>
      <c r="D14" s="6"/>
      <c r="E14" s="6"/>
      <c r="F14" s="6"/>
      <c r="G14" s="6"/>
      <c r="H14" s="6"/>
      <c r="I14" s="6"/>
      <c r="J14" s="6"/>
      <c r="K14" s="6"/>
      <c r="L14" s="6"/>
      <c r="M14" s="6"/>
      <c r="N14" s="6"/>
      <c r="O14" s="6"/>
      <c r="P14" s="6"/>
      <c r="Q14" s="6"/>
    </row>
    <row r="15" spans="1:17" x14ac:dyDescent="0.3">
      <c r="A15" s="6"/>
      <c r="B15" s="6"/>
      <c r="C15" s="6"/>
      <c r="D15" s="6"/>
      <c r="E15" s="6"/>
      <c r="F15" s="6"/>
      <c r="G15" s="6"/>
      <c r="H15" s="6"/>
      <c r="I15" s="6"/>
      <c r="J15" s="6"/>
      <c r="K15" s="6"/>
      <c r="L15" s="6"/>
      <c r="M15" s="6"/>
      <c r="N15" s="6"/>
      <c r="O15" s="6"/>
      <c r="P15" s="6"/>
      <c r="Q15" s="6"/>
    </row>
    <row r="16" spans="1:17" x14ac:dyDescent="0.3">
      <c r="A16" s="6"/>
      <c r="B16" s="6"/>
      <c r="C16" s="6"/>
      <c r="D16" s="6"/>
      <c r="E16" s="6"/>
      <c r="F16" s="6"/>
      <c r="G16" s="6"/>
      <c r="H16" s="6"/>
      <c r="I16" s="6"/>
      <c r="J16" s="6"/>
      <c r="K16" s="6"/>
      <c r="L16" s="6"/>
      <c r="M16" s="6"/>
      <c r="N16" s="6"/>
      <c r="O16" s="6"/>
      <c r="P16" s="6"/>
      <c r="Q16" s="6"/>
    </row>
    <row r="17" spans="1:17" x14ac:dyDescent="0.3">
      <c r="A17" s="6"/>
      <c r="B17" s="6"/>
      <c r="C17" s="6"/>
      <c r="D17" s="6"/>
      <c r="E17" s="6"/>
      <c r="F17" s="6"/>
      <c r="G17" s="6"/>
      <c r="H17" s="6"/>
      <c r="I17" s="6"/>
      <c r="J17" s="6"/>
      <c r="K17" s="6"/>
      <c r="L17" s="6"/>
      <c r="M17" s="6"/>
      <c r="N17" s="6"/>
      <c r="O17" s="6"/>
      <c r="P17" s="6"/>
      <c r="Q17" s="6"/>
    </row>
    <row r="18" spans="1:17" x14ac:dyDescent="0.3">
      <c r="A18" s="6"/>
      <c r="B18" s="6"/>
      <c r="C18" s="6"/>
      <c r="D18" s="6"/>
      <c r="E18" s="6"/>
      <c r="F18" s="6"/>
      <c r="G18" s="6"/>
      <c r="H18" s="6"/>
      <c r="I18" s="6"/>
      <c r="J18" s="6"/>
      <c r="K18" s="6"/>
      <c r="L18" s="6"/>
      <c r="M18" s="6"/>
      <c r="N18" s="6"/>
      <c r="O18" s="6"/>
      <c r="P18" s="6"/>
      <c r="Q18" s="6"/>
    </row>
    <row r="19" spans="1:17" x14ac:dyDescent="0.3">
      <c r="A19" s="6"/>
      <c r="B19" s="6"/>
      <c r="C19" s="6"/>
      <c r="D19" s="6"/>
      <c r="E19" s="6"/>
      <c r="F19" s="6"/>
      <c r="G19" s="6"/>
      <c r="H19" s="6"/>
      <c r="I19" s="6"/>
      <c r="J19" s="6"/>
      <c r="K19" s="6"/>
      <c r="L19" s="6"/>
      <c r="M19" s="6"/>
      <c r="N19" s="6"/>
      <c r="O19" s="6"/>
      <c r="P19" s="6"/>
      <c r="Q19" s="6"/>
    </row>
    <row r="20" spans="1:17" x14ac:dyDescent="0.3">
      <c r="A20" s="6"/>
      <c r="B20" s="6"/>
      <c r="C20" s="6"/>
      <c r="D20" s="6"/>
      <c r="E20" s="6"/>
      <c r="F20" s="6"/>
      <c r="G20" s="6"/>
      <c r="H20" s="6"/>
      <c r="I20" s="6"/>
      <c r="J20" s="6"/>
      <c r="K20" s="6"/>
      <c r="L20" s="6"/>
      <c r="M20" s="6"/>
      <c r="N20" s="6"/>
      <c r="O20" s="6"/>
      <c r="P20" s="6"/>
      <c r="Q20" s="6"/>
    </row>
    <row r="21" spans="1:17" x14ac:dyDescent="0.3">
      <c r="A21" s="6"/>
      <c r="B21" s="6"/>
      <c r="C21" s="6"/>
      <c r="D21" s="6"/>
      <c r="E21" s="6"/>
      <c r="F21" s="6"/>
      <c r="G21" s="6"/>
      <c r="H21" s="6"/>
      <c r="I21" s="6"/>
      <c r="J21" s="6"/>
      <c r="K21" s="6"/>
      <c r="L21" s="6"/>
      <c r="M21" s="6"/>
      <c r="N21" s="6"/>
      <c r="O21" s="6"/>
      <c r="P21" s="6"/>
      <c r="Q21" s="6"/>
    </row>
    <row r="22" spans="1:17" x14ac:dyDescent="0.3">
      <c r="A22" s="6"/>
      <c r="B22" s="6"/>
      <c r="C22" s="6"/>
      <c r="D22" s="6"/>
      <c r="E22" s="6"/>
      <c r="F22" s="6"/>
      <c r="G22" s="6"/>
      <c r="H22" s="6"/>
      <c r="I22" s="6"/>
      <c r="J22" s="6"/>
      <c r="K22" s="6"/>
      <c r="L22" s="6"/>
      <c r="M22" s="6"/>
      <c r="N22" s="6"/>
      <c r="O22" s="6"/>
      <c r="P22" s="6"/>
      <c r="Q22" s="6"/>
    </row>
    <row r="23" spans="1:17" x14ac:dyDescent="0.3">
      <c r="A23" s="6"/>
      <c r="B23" s="6"/>
      <c r="C23" s="6"/>
      <c r="D23" s="6"/>
      <c r="E23" s="6"/>
      <c r="F23" s="6"/>
      <c r="G23" s="6"/>
      <c r="H23" s="6"/>
      <c r="I23" s="6"/>
      <c r="J23" s="6"/>
      <c r="K23" s="6"/>
      <c r="L23" s="6"/>
      <c r="M23" s="6"/>
      <c r="N23" s="6"/>
      <c r="O23" s="6"/>
      <c r="P23" s="6"/>
      <c r="Q23" s="6"/>
    </row>
    <row r="24" spans="1:17" x14ac:dyDescent="0.3">
      <c r="A24" s="6"/>
      <c r="B24" s="6"/>
      <c r="C24" s="6"/>
      <c r="D24" s="6"/>
      <c r="E24" s="6"/>
      <c r="F24" s="6"/>
      <c r="G24" s="6"/>
      <c r="H24" s="6"/>
      <c r="I24" s="6"/>
      <c r="J24" s="6"/>
      <c r="K24" s="6"/>
      <c r="L24" s="6"/>
      <c r="M24" s="6"/>
      <c r="N24" s="6"/>
      <c r="O24" s="6"/>
      <c r="P24" s="6"/>
      <c r="Q24" s="6"/>
    </row>
    <row r="25" spans="1:17" x14ac:dyDescent="0.3">
      <c r="A25" s="6"/>
      <c r="B25" s="6"/>
      <c r="C25" s="6"/>
      <c r="D25" s="6"/>
      <c r="E25" s="6"/>
      <c r="F25" s="6"/>
      <c r="G25" s="6"/>
      <c r="H25" s="6"/>
      <c r="I25" s="6"/>
      <c r="J25" s="6"/>
      <c r="K25" s="6"/>
      <c r="L25" s="6"/>
      <c r="M25" s="6"/>
      <c r="N25" s="6"/>
      <c r="O25" s="6"/>
      <c r="P25" s="6"/>
      <c r="Q25"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C4BA3-06CE-479B-AA02-3416F9C4E069}">
  <dimension ref="A2:Q25"/>
  <sheetViews>
    <sheetView workbookViewId="0">
      <selection activeCell="R13" sqref="R13"/>
    </sheetView>
  </sheetViews>
  <sheetFormatPr defaultRowHeight="14.4" x14ac:dyDescent="0.3"/>
  <sheetData>
    <row r="2" spans="1:17" x14ac:dyDescent="0.3">
      <c r="A2" s="6"/>
      <c r="B2" s="6"/>
      <c r="C2" s="6"/>
      <c r="D2" s="6"/>
      <c r="E2" s="6"/>
      <c r="F2" s="6"/>
      <c r="G2" s="6"/>
      <c r="H2" s="6"/>
      <c r="I2" s="6"/>
      <c r="J2" s="6"/>
      <c r="K2" s="6"/>
      <c r="L2" s="6"/>
      <c r="M2" s="6"/>
      <c r="N2" s="6"/>
      <c r="O2" s="6"/>
      <c r="P2" s="6"/>
      <c r="Q2" s="6"/>
    </row>
    <row r="3" spans="1:17" x14ac:dyDescent="0.3">
      <c r="A3" s="6"/>
      <c r="B3" s="6"/>
      <c r="C3" s="6"/>
      <c r="D3" s="6"/>
      <c r="E3" s="6"/>
      <c r="F3" s="6"/>
      <c r="G3" s="6"/>
      <c r="H3" s="6"/>
      <c r="I3" s="6"/>
      <c r="J3" s="6"/>
      <c r="K3" s="6"/>
      <c r="L3" s="6"/>
      <c r="M3" s="6"/>
      <c r="N3" s="6"/>
      <c r="O3" s="6"/>
      <c r="P3" s="6"/>
      <c r="Q3" s="6"/>
    </row>
    <row r="4" spans="1:17" x14ac:dyDescent="0.3">
      <c r="A4" s="6"/>
      <c r="B4" s="6"/>
      <c r="C4" s="6"/>
      <c r="D4" s="6"/>
      <c r="E4" s="6"/>
      <c r="F4" s="6"/>
      <c r="G4" s="6"/>
      <c r="H4" s="6"/>
      <c r="I4" s="6"/>
      <c r="J4" s="6"/>
      <c r="K4" s="6"/>
      <c r="L4" s="6"/>
      <c r="M4" s="6"/>
      <c r="N4" s="6"/>
      <c r="O4" s="6"/>
      <c r="P4" s="6"/>
      <c r="Q4" s="6"/>
    </row>
    <row r="5" spans="1:17" x14ac:dyDescent="0.3">
      <c r="A5" s="6"/>
      <c r="B5" s="6"/>
      <c r="C5" s="6"/>
      <c r="D5" s="6"/>
      <c r="E5" s="6"/>
      <c r="F5" s="6"/>
      <c r="G5" s="6"/>
      <c r="H5" s="6"/>
      <c r="I5" s="6"/>
      <c r="J5" s="6"/>
      <c r="K5" s="6"/>
      <c r="L5" s="6"/>
      <c r="M5" s="6"/>
      <c r="N5" s="6"/>
      <c r="O5" s="6"/>
      <c r="P5" s="6"/>
      <c r="Q5" s="6"/>
    </row>
    <row r="6" spans="1:17" x14ac:dyDescent="0.3">
      <c r="A6" s="6"/>
      <c r="B6" s="6"/>
      <c r="C6" s="6"/>
      <c r="D6" s="6"/>
      <c r="E6" s="6"/>
      <c r="F6" s="6"/>
      <c r="G6" s="6"/>
      <c r="H6" s="6"/>
      <c r="I6" s="6"/>
      <c r="J6" s="6"/>
      <c r="K6" s="6"/>
      <c r="L6" s="6"/>
      <c r="M6" s="6"/>
      <c r="N6" s="6"/>
      <c r="O6" s="6"/>
      <c r="P6" s="6"/>
      <c r="Q6" s="6"/>
    </row>
    <row r="7" spans="1:17" x14ac:dyDescent="0.3">
      <c r="A7" s="6"/>
      <c r="B7" s="6"/>
      <c r="C7" s="6"/>
      <c r="D7" s="6"/>
      <c r="E7" s="6"/>
      <c r="F7" s="6"/>
      <c r="G7" s="6"/>
      <c r="H7" s="6"/>
      <c r="I7" s="6"/>
      <c r="J7" s="6"/>
      <c r="K7" s="6"/>
      <c r="L7" s="6"/>
      <c r="M7" s="6"/>
      <c r="N7" s="6"/>
      <c r="O7" s="6"/>
      <c r="P7" s="6"/>
      <c r="Q7" s="6"/>
    </row>
    <row r="8" spans="1:17" x14ac:dyDescent="0.3">
      <c r="A8" s="6"/>
      <c r="B8" s="6"/>
      <c r="C8" s="6"/>
      <c r="D8" s="6"/>
      <c r="E8" s="6"/>
      <c r="F8" s="6"/>
      <c r="G8" s="6"/>
      <c r="H8" s="6"/>
      <c r="I8" s="6"/>
      <c r="J8" s="6"/>
      <c r="K8" s="6"/>
      <c r="L8" s="6"/>
      <c r="M8" s="6"/>
      <c r="N8" s="6"/>
      <c r="O8" s="6"/>
      <c r="P8" s="6"/>
      <c r="Q8" s="6"/>
    </row>
    <row r="9" spans="1:17" x14ac:dyDescent="0.3">
      <c r="A9" s="6"/>
      <c r="B9" s="6"/>
      <c r="C9" s="6"/>
      <c r="D9" s="6"/>
      <c r="E9" s="6"/>
      <c r="F9" s="6"/>
      <c r="G9" s="6"/>
      <c r="H9" s="6"/>
      <c r="I9" s="6"/>
      <c r="J9" s="6"/>
      <c r="K9" s="6"/>
      <c r="L9" s="6"/>
      <c r="M9" s="6"/>
      <c r="N9" s="6"/>
      <c r="O9" s="6"/>
      <c r="P9" s="6"/>
      <c r="Q9" s="6"/>
    </row>
    <row r="10" spans="1:17" x14ac:dyDescent="0.3">
      <c r="A10" s="6"/>
      <c r="B10" s="6"/>
      <c r="C10" s="6"/>
      <c r="D10" s="6"/>
      <c r="E10" s="6"/>
      <c r="F10" s="6"/>
      <c r="G10" s="6"/>
      <c r="H10" s="6"/>
      <c r="I10" s="6"/>
      <c r="J10" s="6"/>
      <c r="K10" s="6"/>
      <c r="L10" s="6"/>
      <c r="M10" s="6"/>
      <c r="N10" s="6"/>
      <c r="O10" s="6"/>
      <c r="P10" s="6"/>
      <c r="Q10" s="6"/>
    </row>
    <row r="11" spans="1:17" x14ac:dyDescent="0.3">
      <c r="A11" s="6"/>
      <c r="B11" s="6"/>
      <c r="C11" s="6"/>
      <c r="D11" s="6"/>
      <c r="E11" s="6"/>
      <c r="F11" s="6"/>
      <c r="G11" s="6"/>
      <c r="H11" s="6"/>
      <c r="I11" s="6"/>
      <c r="J11" s="6"/>
      <c r="K11" s="6"/>
      <c r="L11" s="6"/>
      <c r="M11" s="6"/>
      <c r="N11" s="6"/>
      <c r="O11" s="6"/>
      <c r="P11" s="6"/>
      <c r="Q11" s="6"/>
    </row>
    <row r="12" spans="1:17" x14ac:dyDescent="0.3">
      <c r="A12" s="6"/>
      <c r="B12" s="6"/>
      <c r="C12" s="6"/>
      <c r="D12" s="6"/>
      <c r="E12" s="6"/>
      <c r="F12" s="6"/>
      <c r="G12" s="6"/>
      <c r="H12" s="6"/>
      <c r="I12" s="6"/>
      <c r="J12" s="6"/>
      <c r="K12" s="6"/>
      <c r="L12" s="6"/>
      <c r="M12" s="6"/>
      <c r="N12" s="6"/>
      <c r="O12" s="6"/>
      <c r="P12" s="6"/>
      <c r="Q12" s="6"/>
    </row>
    <row r="13" spans="1:17" x14ac:dyDescent="0.3">
      <c r="A13" s="6"/>
      <c r="B13" s="6"/>
      <c r="C13" s="6"/>
      <c r="D13" s="6"/>
      <c r="E13" s="6"/>
      <c r="F13" s="6"/>
      <c r="G13" s="6"/>
      <c r="H13" s="6"/>
      <c r="I13" s="6"/>
      <c r="J13" s="6"/>
      <c r="K13" s="6"/>
      <c r="L13" s="6"/>
      <c r="M13" s="6"/>
      <c r="N13" s="6"/>
      <c r="O13" s="6"/>
      <c r="P13" s="6"/>
      <c r="Q13" s="6"/>
    </row>
    <row r="14" spans="1:17" x14ac:dyDescent="0.3">
      <c r="A14" s="6"/>
      <c r="B14" s="6"/>
      <c r="C14" s="6"/>
      <c r="D14" s="6"/>
      <c r="E14" s="6"/>
      <c r="F14" s="6"/>
      <c r="G14" s="6"/>
      <c r="H14" s="6"/>
      <c r="I14" s="6"/>
      <c r="J14" s="6"/>
      <c r="K14" s="6"/>
      <c r="L14" s="6"/>
      <c r="M14" s="6"/>
      <c r="N14" s="6"/>
      <c r="O14" s="6"/>
      <c r="P14" s="6"/>
      <c r="Q14" s="6"/>
    </row>
    <row r="15" spans="1:17" x14ac:dyDescent="0.3">
      <c r="A15" s="6"/>
      <c r="B15" s="6"/>
      <c r="C15" s="6"/>
      <c r="D15" s="6"/>
      <c r="E15" s="6"/>
      <c r="F15" s="6"/>
      <c r="G15" s="6"/>
      <c r="H15" s="6"/>
      <c r="I15" s="6"/>
      <c r="J15" s="6"/>
      <c r="K15" s="6"/>
      <c r="L15" s="6"/>
      <c r="M15" s="6"/>
      <c r="N15" s="6"/>
      <c r="O15" s="6"/>
      <c r="P15" s="6"/>
      <c r="Q15" s="6"/>
    </row>
    <row r="16" spans="1:17" x14ac:dyDescent="0.3">
      <c r="A16" s="6"/>
      <c r="B16" s="6"/>
      <c r="C16" s="6"/>
      <c r="D16" s="6"/>
      <c r="E16" s="6"/>
      <c r="F16" s="6"/>
      <c r="G16" s="6"/>
      <c r="H16" s="6"/>
      <c r="I16" s="6"/>
      <c r="J16" s="6"/>
      <c r="K16" s="6"/>
      <c r="L16" s="6"/>
      <c r="M16" s="6"/>
      <c r="N16" s="6"/>
      <c r="O16" s="6"/>
      <c r="P16" s="6"/>
      <c r="Q16" s="6"/>
    </row>
    <row r="17" spans="1:17" x14ac:dyDescent="0.3">
      <c r="A17" s="6"/>
      <c r="B17" s="6"/>
      <c r="C17" s="6"/>
      <c r="D17" s="6"/>
      <c r="E17" s="6"/>
      <c r="F17" s="6"/>
      <c r="G17" s="6"/>
      <c r="H17" s="6"/>
      <c r="I17" s="6"/>
      <c r="J17" s="6"/>
      <c r="K17" s="6"/>
      <c r="L17" s="6"/>
      <c r="M17" s="6"/>
      <c r="N17" s="6"/>
      <c r="O17" s="6"/>
      <c r="P17" s="6"/>
      <c r="Q17" s="6"/>
    </row>
    <row r="18" spans="1:17" x14ac:dyDescent="0.3">
      <c r="A18" s="6"/>
      <c r="B18" s="6"/>
      <c r="C18" s="6"/>
      <c r="D18" s="6"/>
      <c r="E18" s="6"/>
      <c r="F18" s="6"/>
      <c r="G18" s="6"/>
      <c r="H18" s="6"/>
      <c r="I18" s="6"/>
      <c r="J18" s="6"/>
      <c r="K18" s="6"/>
      <c r="L18" s="6"/>
      <c r="M18" s="6"/>
      <c r="N18" s="6"/>
      <c r="O18" s="6"/>
      <c r="P18" s="6"/>
      <c r="Q18" s="6"/>
    </row>
    <row r="19" spans="1:17" x14ac:dyDescent="0.3">
      <c r="A19" s="6"/>
      <c r="B19" s="6"/>
      <c r="C19" s="6"/>
      <c r="D19" s="6"/>
      <c r="E19" s="6"/>
      <c r="F19" s="6"/>
      <c r="G19" s="6"/>
      <c r="H19" s="6"/>
      <c r="I19" s="6"/>
      <c r="J19" s="6"/>
      <c r="K19" s="6"/>
      <c r="L19" s="6"/>
      <c r="M19" s="6"/>
      <c r="N19" s="6"/>
      <c r="O19" s="6"/>
      <c r="P19" s="6"/>
      <c r="Q19" s="6"/>
    </row>
    <row r="20" spans="1:17" x14ac:dyDescent="0.3">
      <c r="A20" s="6"/>
      <c r="B20" s="6"/>
      <c r="C20" s="6"/>
      <c r="D20" s="6"/>
      <c r="E20" s="6"/>
      <c r="F20" s="6"/>
      <c r="G20" s="6"/>
      <c r="H20" s="6"/>
      <c r="I20" s="6"/>
      <c r="J20" s="6"/>
      <c r="K20" s="6"/>
      <c r="L20" s="6"/>
      <c r="M20" s="6"/>
      <c r="N20" s="6"/>
      <c r="O20" s="6"/>
      <c r="P20" s="6"/>
      <c r="Q20" s="6"/>
    </row>
    <row r="21" spans="1:17" x14ac:dyDescent="0.3">
      <c r="A21" s="6"/>
      <c r="B21" s="6"/>
      <c r="C21" s="6"/>
      <c r="D21" s="6"/>
      <c r="E21" s="6"/>
      <c r="F21" s="6"/>
      <c r="G21" s="6"/>
      <c r="H21" s="6"/>
      <c r="I21" s="6"/>
      <c r="J21" s="6"/>
      <c r="K21" s="6"/>
      <c r="L21" s="6"/>
      <c r="M21" s="6"/>
      <c r="N21" s="6"/>
      <c r="O21" s="6"/>
      <c r="P21" s="6"/>
      <c r="Q21" s="6"/>
    </row>
    <row r="22" spans="1:17" x14ac:dyDescent="0.3">
      <c r="A22" s="6"/>
      <c r="B22" s="6"/>
      <c r="C22" s="6"/>
      <c r="D22" s="6"/>
      <c r="E22" s="6"/>
      <c r="F22" s="6"/>
      <c r="G22" s="6"/>
      <c r="H22" s="6"/>
      <c r="I22" s="6"/>
      <c r="J22" s="6"/>
      <c r="K22" s="6"/>
      <c r="L22" s="6"/>
      <c r="M22" s="6"/>
      <c r="N22" s="6"/>
      <c r="O22" s="6"/>
      <c r="P22" s="6"/>
      <c r="Q22" s="6"/>
    </row>
    <row r="23" spans="1:17" x14ac:dyDescent="0.3">
      <c r="A23" s="6"/>
      <c r="B23" s="6"/>
      <c r="C23" s="6"/>
      <c r="D23" s="6"/>
      <c r="E23" s="6"/>
      <c r="F23" s="6"/>
      <c r="G23" s="6"/>
      <c r="H23" s="6"/>
      <c r="I23" s="6"/>
      <c r="J23" s="6"/>
      <c r="K23" s="6"/>
      <c r="L23" s="6"/>
      <c r="M23" s="6"/>
      <c r="N23" s="6"/>
      <c r="O23" s="6"/>
      <c r="P23" s="6"/>
      <c r="Q23" s="6"/>
    </row>
    <row r="24" spans="1:17" x14ac:dyDescent="0.3">
      <c r="A24" s="6"/>
      <c r="B24" s="6"/>
      <c r="C24" s="6"/>
      <c r="D24" s="6"/>
      <c r="E24" s="6"/>
      <c r="F24" s="6"/>
      <c r="G24" s="6"/>
      <c r="H24" s="6"/>
      <c r="I24" s="6"/>
      <c r="J24" s="6"/>
      <c r="K24" s="6"/>
      <c r="L24" s="6"/>
      <c r="M24" s="6"/>
      <c r="N24" s="6"/>
      <c r="O24" s="6"/>
      <c r="P24" s="6"/>
      <c r="Q24" s="6"/>
    </row>
    <row r="25" spans="1:17" x14ac:dyDescent="0.3">
      <c r="A25" s="6"/>
      <c r="B25" s="6"/>
      <c r="C25" s="6"/>
      <c r="D25" s="6"/>
      <c r="E25" s="6"/>
      <c r="F25" s="6"/>
      <c r="G25" s="6"/>
      <c r="H25" s="6"/>
      <c r="I25" s="6"/>
      <c r="J25" s="6"/>
      <c r="K25" s="6"/>
      <c r="L25" s="6"/>
      <c r="M25" s="6"/>
      <c r="N25" s="6"/>
      <c r="O25" s="6"/>
      <c r="P25" s="6"/>
      <c r="Q25"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6266B39-2245-4CC9-8285-5AB86906DBCD}">
  <ds:schemaRefs/>
</ds:datastoreItem>
</file>

<file path=customXml/itemProps2.xml><?xml version="1.0" encoding="utf-8"?>
<ds:datastoreItem xmlns:ds="http://schemas.openxmlformats.org/officeDocument/2006/customXml" ds:itemID="{283746F1-B259-4A87-AA9A-0ACD7D1C1D02}">
  <ds:schemaRefs/>
</ds:datastoreItem>
</file>

<file path=customXml/itemProps3.xml><?xml version="1.0" encoding="utf-8"?>
<ds:datastoreItem xmlns:ds="http://schemas.openxmlformats.org/officeDocument/2006/customXml" ds:itemID="{CFC615E4-9222-4318-9433-DFBD0F16B264}">
  <ds:schemaRefs/>
</ds:datastoreItem>
</file>

<file path=customXml/itemProps4.xml><?xml version="1.0" encoding="utf-8"?>
<ds:datastoreItem xmlns:ds="http://schemas.openxmlformats.org/officeDocument/2006/customXml" ds:itemID="{39F07248-F6FE-401E-85DB-6269689FE808}">
  <ds:schemaRefs/>
</ds:datastoreItem>
</file>

<file path=customXml/itemProps5.xml><?xml version="1.0" encoding="utf-8"?>
<ds:datastoreItem xmlns:ds="http://schemas.openxmlformats.org/officeDocument/2006/customXml" ds:itemID="{448FB0FE-C21B-4EE6-B97B-FBC6E0D0EA36}">
  <ds:schemaRefs/>
</ds:datastoreItem>
</file>

<file path=customXml/itemProps6.xml><?xml version="1.0" encoding="utf-8"?>
<ds:datastoreItem xmlns:ds="http://schemas.openxmlformats.org/officeDocument/2006/customXml" ds:itemID="{7068312A-A24D-42E2-B3C7-7B9D60D1E2D5}">
  <ds:schemaRefs/>
</ds:datastoreItem>
</file>

<file path=customXml/itemProps7.xml><?xml version="1.0" encoding="utf-8"?>
<ds:datastoreItem xmlns:ds="http://schemas.openxmlformats.org/officeDocument/2006/customXml" ds:itemID="{7E6C70DC-F77B-4965-9075-A33166B0044B}">
  <ds:schemaRefs/>
</ds:datastoreItem>
</file>

<file path=customXml/itemProps8.xml><?xml version="1.0" encoding="utf-8"?>
<ds:datastoreItem xmlns:ds="http://schemas.openxmlformats.org/officeDocument/2006/customXml" ds:itemID="{7A6CACDA-E252-4DD0-A8D3-73583F755A9B}">
  <ds:schemaRefs/>
</ds:datastoreItem>
</file>

<file path=customXml/itemProps9.xml><?xml version="1.0" encoding="utf-8"?>
<ds:datastoreItem xmlns:ds="http://schemas.openxmlformats.org/officeDocument/2006/customXml" ds:itemID="{18A7AE76-E589-4936-841F-F03FE63402F4}">
  <ds:schemaRefs/>
</ds:datastoreItem>
</file>

<file path=customXml/itemProps10.xml><?xml version="1.0" encoding="utf-8"?>
<ds:datastoreItem xmlns:ds="http://schemas.openxmlformats.org/officeDocument/2006/customXml" ds:itemID="{6FCA87FA-2F6C-4657-99A3-962017603829}">
  <ds:schemaRefs/>
</ds:datastoreItem>
</file>

<file path=customXml/itemProps11.xml><?xml version="1.0" encoding="utf-8"?>
<ds:datastoreItem xmlns:ds="http://schemas.openxmlformats.org/officeDocument/2006/customXml" ds:itemID="{81BDEDB2-9F3B-4DD6-BA2B-EFDB1CE60B67}">
  <ds:schemaRefs/>
</ds:datastoreItem>
</file>

<file path=customXml/itemProps12.xml><?xml version="1.0" encoding="utf-8"?>
<ds:datastoreItem xmlns:ds="http://schemas.openxmlformats.org/officeDocument/2006/customXml" ds:itemID="{5013D0C9-AD89-4FD8-A76A-6B0C20743670}">
  <ds:schemaRefs/>
</ds:datastoreItem>
</file>

<file path=customXml/itemProps13.xml><?xml version="1.0" encoding="utf-8"?>
<ds:datastoreItem xmlns:ds="http://schemas.openxmlformats.org/officeDocument/2006/customXml" ds:itemID="{86D47054-7C4C-4F46-A713-617AC99A54DF}">
  <ds:schemaRefs/>
</ds:datastoreItem>
</file>

<file path=customXml/itemProps14.xml><?xml version="1.0" encoding="utf-8"?>
<ds:datastoreItem xmlns:ds="http://schemas.openxmlformats.org/officeDocument/2006/customXml" ds:itemID="{6836E21A-19BA-4B75-BDBF-6036CCC6853C}">
  <ds:schemaRefs>
    <ds:schemaRef ds:uri="http://schemas.microsoft.com/DataMashup"/>
  </ds:schemaRefs>
</ds:datastoreItem>
</file>

<file path=customXml/itemProps15.xml><?xml version="1.0" encoding="utf-8"?>
<ds:datastoreItem xmlns:ds="http://schemas.openxmlformats.org/officeDocument/2006/customXml" ds:itemID="{EF6A3E20-13DA-4925-BED2-F02B437E784B}">
  <ds:schemaRefs/>
</ds:datastoreItem>
</file>

<file path=customXml/itemProps16.xml><?xml version="1.0" encoding="utf-8"?>
<ds:datastoreItem xmlns:ds="http://schemas.openxmlformats.org/officeDocument/2006/customXml" ds:itemID="{23903CBF-1A22-4468-99E4-3344B296A971}">
  <ds:schemaRefs/>
</ds:datastoreItem>
</file>

<file path=customXml/itemProps17.xml><?xml version="1.0" encoding="utf-8"?>
<ds:datastoreItem xmlns:ds="http://schemas.openxmlformats.org/officeDocument/2006/customXml" ds:itemID="{66EA4577-7977-4ED7-99F3-3E2EBEB78F6D}">
  <ds:schemaRefs/>
</ds:datastoreItem>
</file>

<file path=customXml/itemProps18.xml><?xml version="1.0" encoding="utf-8"?>
<ds:datastoreItem xmlns:ds="http://schemas.openxmlformats.org/officeDocument/2006/customXml" ds:itemID="{9C7FC813-B857-49D8-AFC1-23832B85C0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Piviot Report</vt:lpstr>
      <vt:lpstr>DashBord Report</vt:lpstr>
      <vt:lpstr>daily trends of no. of patient </vt:lpstr>
      <vt:lpstr>Average patient waittime </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divyaninawe428@gmail.com</dc:creator>
  <cp:lastModifiedBy>divyaninawe428@gmail.com</cp:lastModifiedBy>
  <dcterms:created xsi:type="dcterms:W3CDTF">2025-11-04T02:41:20Z</dcterms:created>
  <dcterms:modified xsi:type="dcterms:W3CDTF">2025-11-06T09:49:06Z</dcterms:modified>
</cp:coreProperties>
</file>